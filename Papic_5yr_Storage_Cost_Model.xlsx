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Scenarios" sheetId="2" state="visible" r:id="rId4"/>
    <sheet name="BreakEv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<sst xmlns="http://schemas.openxmlformats.org/spreadsheetml/2006/main" count="130" uniqueCount="121">
  <si>
    <t xml:space="preserve">SETNAYAN — Papic 5-Year Storage Cost Model</t>
  </si>
  <si>
    <t xml:space="preserve">Edit the BLUE cells. YELLOW = highest-impact levers. Cost is dominated by the cold-tail (compression × months). R2 egress = $0.</t>
  </si>
  <si>
    <t xml:space="preserve">INPUTS  (edit blue cells)</t>
  </si>
  <si>
    <t xml:space="preserve">Guest count (pax)</t>
  </si>
  <si>
    <t xml:space="preserve">Papic Guest flat-price ceiling = 250</t>
  </si>
  <si>
    <t xml:space="preserve">MB per guest (24 photos + 10×5s clips)</t>
  </si>
  <si>
    <t xml:space="preserve">Source: 10_Papic_Feature_Specification.md</t>
  </si>
  <si>
    <t xml:space="preserve">Files uploaded per guest</t>
  </si>
  <si>
    <t xml:space="preserve">24 photos + 10 clips</t>
  </si>
  <si>
    <t xml:space="preserve">Retention (years)</t>
  </si>
  <si>
    <t xml:space="preserve">PH photographers keep originals 5+ yrs</t>
  </si>
  <si>
    <t xml:space="preserve">Hot window — full-res (months)</t>
  </si>
  <si>
    <t xml:space="preserve">Full-res, on Standard, then tier to cold</t>
  </si>
  <si>
    <t xml:space="preserve">Cold-tail compression (% of original kept)</t>
  </si>
  <si>
    <t xml:space="preserve">THE big lever. 100%=no compress</t>
  </si>
  <si>
    <t xml:space="preserve">R2 Standard rate ($/GB-month)</t>
  </si>
  <si>
    <t xml:space="preserve">Cloudflare R2 published</t>
  </si>
  <si>
    <t xml:space="preserve">R2 Infrequent-Access rate ($/GB-month)</t>
  </si>
  <si>
    <t xml:space="preserve">Class A write rate ($ per million ops)</t>
  </si>
  <si>
    <t xml:space="preserve">Uploads (PUTs)</t>
  </si>
  <si>
    <t xml:space="preserve">FX (PHP per USD)</t>
  </si>
  <si>
    <t xml:space="preserve">~June 2026</t>
  </si>
  <si>
    <t xml:space="preserve">Papic Guest SKU price (₱)</t>
  </si>
  <si>
    <t xml:space="preserve">Live-site price</t>
  </si>
  <si>
    <t xml:space="preserve">STORAGE VOLUME</t>
  </si>
  <si>
    <t xml:space="preserve">Full-res data (GB)</t>
  </si>
  <si>
    <t xml:space="preserve">Total retention (months)</t>
  </si>
  <si>
    <t xml:space="preserve">Cold-tail months</t>
  </si>
  <si>
    <t xml:space="preserve">Cold-tail data (GB, compressed)</t>
  </si>
  <si>
    <t xml:space="preserve">5-YEAR COST  (USD)</t>
  </si>
  <si>
    <t xml:space="preserve">Hot storage — full-res on Standard</t>
  </si>
  <si>
    <t xml:space="preserve">Cold storage — compressed on IA</t>
  </si>
  <si>
    <t xml:space="preserve">Write operations — Class A</t>
  </si>
  <si>
    <t xml:space="preserve">Egress (R2 = free)</t>
  </si>
  <si>
    <t xml:space="preserve">TOTAL storage cost (USD)</t>
  </si>
  <si>
    <t xml:space="preserve">RESULT  (₱)</t>
  </si>
  <si>
    <t xml:space="preserve">Total 5-year cost / event (₱)</t>
  </si>
  <si>
    <t xml:space="preserve">Cost per guest (₱)</t>
  </si>
  <si>
    <t xml:space="preserve">SKU price (₱)</t>
  </si>
  <si>
    <t xml:space="preserve">Gross margin (₱)</t>
  </si>
  <si>
    <t xml:space="preserve">Gross margin (%)</t>
  </si>
  <si>
    <t xml:space="preserve">Notes &amp; sources</t>
  </si>
  <si>
    <t xml:space="preserve">• R2: Cloudflare R2 — Standard $0.015/GB-mo · Infrequent Access $0.010/GB-mo · egress $0.</t>
  </si>
  <si>
    <t xml:space="preserve">• 190 MB/guest from 10_Papic_Feature_Specification.md (24 photos + 10×5s clips).</t>
  </si>
  <si>
    <t xml:space="preserve">• Storage cost is dominated by the cold-tail: compression % and months. Set compression to 100% to model full-res-forever.</t>
  </si>
  <si>
    <t xml:space="preserve">• See the Scenarios tab for the 3 policy options (full-res vs tiered/compressed) side-by-side.</t>
  </si>
  <si>
    <t xml:space="preserve">Papic 5-Year Storage — 3 Policy Options</t>
  </si>
  <si>
    <t xml:space="preserve">Parameter</t>
  </si>
  <si>
    <t xml:space="preserve">A — Full-res / Standard</t>
  </si>
  <si>
    <t xml:space="preserve">B — Compress 35% + IA</t>
  </si>
  <si>
    <t xml:space="preserve">C — Compress 18% + IA</t>
  </si>
  <si>
    <t xml:space="preserve">MB per guest</t>
  </si>
  <si>
    <t xml:space="preserve">Retention (months)</t>
  </si>
  <si>
    <t xml:space="preserve">Standard rate ($/GB-mo)</t>
  </si>
  <si>
    <t xml:space="preserve">IA rate ($/GB-mo)</t>
  </si>
  <si>
    <t xml:space="preserve">FX (₱/USD)</t>
  </si>
  <si>
    <t xml:space="preserve">Cold-tail compression (% kept)</t>
  </si>
  <si>
    <t xml:space="preserve">Cold-tail rate ($/GB-mo)</t>
  </si>
  <si>
    <t xml:space="preserve">Cold-tail data (GB)</t>
  </si>
  <si>
    <t xml:space="preserve">Hot cost (USD)</t>
  </si>
  <si>
    <t xml:space="preserve">Cold cost (USD)</t>
  </si>
  <si>
    <t xml:space="preserve">Write ops (USD)</t>
  </si>
  <si>
    <t xml:space="preserve">Total (USD)</t>
  </si>
  <si>
    <t xml:space="preserve">Total 5-yr cost / event (₱)</t>
  </si>
  <si>
    <t xml:space="preserve">Policy A = keep every original full-res on Standard for 5 yrs. B = realistic tiering. C = aggressive compression (your spec’s ₱356 basis).</t>
  </si>
  <si>
    <t xml:space="preserve">SETNAYAN — Worst-Case Break-Even  (everyone free-rides, nobody pays)</t>
  </si>
  <si>
    <t xml:space="preserve">Edit blue cells. Scenario: 100 vendors join, none buy Pro/Enterprise, couples use only free tools, vendors never spend tokens.</t>
  </si>
  <si>
    <t xml:space="preserve">① FIXED MONTHLY PLATFORM COST  (runs whether you have 0 or 10,000 users)</t>
  </si>
  <si>
    <t xml:space="preserve">Vercel — hosting</t>
  </si>
  <si>
    <t xml:space="preserve">~$20/mo · owner confirm</t>
  </si>
  <si>
    <t xml:space="preserve">Supabase — database + auth</t>
  </si>
  <si>
    <t xml:space="preserve">~$25/mo</t>
  </si>
  <si>
    <t xml:space="preserve">Resend — email</t>
  </si>
  <si>
    <t xml:space="preserve">~$20/mo (free under 3k emails)</t>
  </si>
  <si>
    <t xml:space="preserve">Sentry — error monitoring</t>
  </si>
  <si>
    <t xml:space="preserve">0035 observability spec</t>
  </si>
  <si>
    <t xml:space="preserve">PostHog — product analytics</t>
  </si>
  <si>
    <t xml:space="preserve">0035 spec</t>
  </si>
  <si>
    <t xml:space="preserve">Better Stack — uptime/status</t>
  </si>
  <si>
    <t xml:space="preserve">Cloudflare — base + R2 operations</t>
  </si>
  <si>
    <t xml:space="preserve">estimate</t>
  </si>
  <si>
    <t xml:space="preserve">Domains (amortized)</t>
  </si>
  <si>
    <t xml:space="preserve">setnayan.com/.ph</t>
  </si>
  <si>
    <t xml:space="preserve">AI APIs — base (planner/contract)</t>
  </si>
  <si>
    <t xml:space="preserve">free planner is deterministic ≈₱0</t>
  </si>
  <si>
    <t xml:space="preserve">Misc / buffer</t>
  </si>
  <si>
    <t xml:space="preserve">TOTAL FIXED / month</t>
  </si>
  <si>
    <t xml:space="preserve">② MARGINAL STORAGE COST OF FREE USERS  (this is the part you fear — watch how tiny it is)</t>
  </si>
  <si>
    <t xml:space="preserve">R2 storage rate (₱/GB-month)</t>
  </si>
  <si>
    <t xml:space="preserve">Standard rate × FX (from Calculator)</t>
  </si>
  <si>
    <t xml:space="preserve">Free vendors (#)</t>
  </si>
  <si>
    <t xml:space="preserve">Avg storage per free vendor (GB)</t>
  </si>
  <si>
    <t xml:space="preserve">logo + ~20 portfolio images</t>
  </si>
  <si>
    <t xml:space="preserve">Free couples / events (#)</t>
  </si>
  <si>
    <t xml:space="preserve">Avg storage per free couple (GB)</t>
  </si>
  <si>
    <t xml:space="preserve">website + mood board + a few photos (no paid Papic)</t>
  </si>
  <si>
    <t xml:space="preserve">Vendor storage cost / month</t>
  </si>
  <si>
    <t xml:space="preserve">Couple storage cost / month</t>
  </si>
  <si>
    <t xml:space="preserve">TOTAL MARGINAL / month</t>
  </si>
  <si>
    <t xml:space="preserve">→ Cost to carry 1 free vendor / YEAR</t>
  </si>
  <si>
    <t xml:space="preserve">→ Cost to carry 1 free couple / YEAR</t>
  </si>
  <si>
    <t xml:space="preserve">③ REVENUE THIS MONTH  (worst case = all zero)</t>
  </si>
  <si>
    <t xml:space="preserve">Pro vendors (#)</t>
  </si>
  <si>
    <t xml:space="preserve">Pro price (₱/month)</t>
  </si>
  <si>
    <t xml:space="preserve">₱6,000/28d — DB canon</t>
  </si>
  <si>
    <t xml:space="preserve">Enterprise vendors (#)</t>
  </si>
  <si>
    <t xml:space="preserve">Enterprise price (₱/month)</t>
  </si>
  <si>
    <t xml:space="preserve">Paid SKU sales (# / month)</t>
  </si>
  <si>
    <t xml:space="preserve">Papic, Panood, monogram, etc.</t>
  </si>
  <si>
    <t xml:space="preserve">Avg SKU price (₱)</t>
  </si>
  <si>
    <t xml:space="preserve">Token revenue (₱/month)</t>
  </si>
  <si>
    <t xml:space="preserve">Setnayan Pay fees (₱/month)</t>
  </si>
  <si>
    <t xml:space="preserve">TOTAL REVENUE / month</t>
  </si>
  <si>
    <t xml:space="preserve">④ RESULT</t>
  </si>
  <si>
    <t xml:space="preserve">Total monthly cost (fixed + marginal)</t>
  </si>
  <si>
    <t xml:space="preserve">Total monthly revenue</t>
  </si>
  <si>
    <t xml:space="preserve">NET monthly profit / (loss)</t>
  </si>
  <si>
    <t xml:space="preserve">Break-even: Pro vendors needed</t>
  </si>
  <si>
    <t xml:space="preserve">Break-even: SKU sales needed / month</t>
  </si>
  <si>
    <t xml:space="preserve">Break-even conversion (% of free vendors → Pro)</t>
  </si>
  <si>
    <t xml:space="preserve">Punchline: ~99% of the worst-case loss is FIXED subscriptions you pay with zero users. Free users add only pennies. Break-even ≈ 1–2 Pro vendors or 3–4 SKU sales/month (~1–2% conversion vs 2–5% freemium norm).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</si>
</sst>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\$0.000"/>
    <numFmt numFmtId="168" formatCode="\$#,##0.00"/>
    <numFmt numFmtId="169" formatCode="#,##0.0"/>
    <numFmt numFmtId="170" formatCode="\₱#,##0;&quot;(₱&quot;#,##0\)"/>
    <numFmt numFmtId="171" formatCode="\₱#,##0;&quot;(₱&quot;#,##0\)"/>
    <numFmt numFmtId="172" formatCode="\₱#,##0.00;&quot;(₱&quot;#,##0.00\)"/>
    <numFmt numFmtId="173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250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190</v>
      </c>
      <c r="C6" s="7" t="s">
        <v>6</v>
      </c>
    </row>
    <row r="7" customFormat="false" ht="15" hidden="false" customHeight="true" outlineLevel="0" collapsed="false">
      <c r="A7" s="5" t="s">
        <v>7</v>
      </c>
      <c r="B7" s="6" t="n">
        <v>34</v>
      </c>
      <c r="C7" s="7" t="s">
        <v>8</v>
      </c>
    </row>
    <row r="8" customFormat="false" ht="15" hidden="false" customHeight="true" outlineLevel="0" collapsed="false">
      <c r="A8" s="5" t="s">
        <v>9</v>
      </c>
      <c r="B8" s="8" t="n">
        <v>5</v>
      </c>
      <c r="C8" s="7" t="s">
        <v>10</v>
      </c>
    </row>
    <row r="9" customFormat="false" ht="15" hidden="false" customHeight="true" outlineLevel="0" collapsed="false">
      <c r="A9" s="5" t="s">
        <v>11</v>
      </c>
      <c r="B9" s="8" t="n">
        <v>3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9" t="n">
        <v>0.35</v>
      </c>
      <c r="C10" s="7" t="s">
        <v>14</v>
      </c>
    </row>
    <row r="11" customFormat="false" ht="15" hidden="false" customHeight="true" outlineLevel="0" collapsed="false">
      <c r="A11" s="5" t="s">
        <v>15</v>
      </c>
      <c r="B11" s="10" t="n">
        <v>0.015</v>
      </c>
      <c r="C11" s="7" t="s">
        <v>16</v>
      </c>
    </row>
    <row r="12" customFormat="false" ht="15" hidden="false" customHeight="true" outlineLevel="0" collapsed="false">
      <c r="A12" s="5" t="s">
        <v>17</v>
      </c>
      <c r="B12" s="10" t="n">
        <v>0.01</v>
      </c>
      <c r="C12" s="7" t="s">
        <v>16</v>
      </c>
    </row>
    <row r="13" customFormat="false" ht="15" hidden="false" customHeight="true" outlineLevel="0" collapsed="false">
      <c r="A13" s="5" t="s">
        <v>18</v>
      </c>
      <c r="B13" s="11" t="n">
        <v>4.5</v>
      </c>
      <c r="C13" s="7" t="s">
        <v>19</v>
      </c>
    </row>
    <row r="14" customFormat="false" ht="15" hidden="false" customHeight="true" outlineLevel="0" collapsed="false">
      <c r="A14" s="5" t="s">
        <v>20</v>
      </c>
      <c r="B14" s="8" t="n">
        <v>57</v>
      </c>
      <c r="C14" s="7" t="s">
        <v>21</v>
      </c>
    </row>
    <row r="15" customFormat="false" ht="15" hidden="false" customHeight="true" outlineLevel="0" collapsed="false">
      <c r="A15" s="5" t="s">
        <v>22</v>
      </c>
      <c r="B15" s="8" t="n">
        <v>2999</v>
      </c>
      <c r="C15" s="7" t="s">
        <v>23</v>
      </c>
    </row>
    <row r="17" customFormat="false" ht="15" hidden="false" customHeight="true" outlineLevel="0" collapsed="false">
      <c r="A17" s="4" t="s">
        <v>24</v>
      </c>
      <c r="B17" s="4"/>
      <c r="C17" s="4"/>
    </row>
    <row r="18" customFormat="false" ht="15" hidden="false" customHeight="true" outlineLevel="0" collapsed="false">
      <c r="A18" s="5" t="s">
        <v>25</v>
      </c>
      <c r="B18" s="12" t="n">
        <f aca="false">B5*B6/1000</f>
        <v>47.5</v>
      </c>
    </row>
    <row r="19" customFormat="false" ht="15" hidden="false" customHeight="true" outlineLevel="0" collapsed="false">
      <c r="A19" s="5" t="s">
        <v>26</v>
      </c>
      <c r="B19" s="13" t="n">
        <f aca="false">B8*12</f>
        <v>60</v>
      </c>
    </row>
    <row r="20" customFormat="false" ht="15" hidden="false" customHeight="true" outlineLevel="0" collapsed="false">
      <c r="A20" s="5" t="s">
        <v>27</v>
      </c>
      <c r="B20" s="13" t="n">
        <f aca="false">B19-B9</f>
        <v>57</v>
      </c>
    </row>
    <row r="21" customFormat="false" ht="15" hidden="false" customHeight="true" outlineLevel="0" collapsed="false">
      <c r="A21" s="5" t="s">
        <v>28</v>
      </c>
      <c r="B21" s="12" t="n">
        <f aca="false">B18*B10</f>
        <v>16.625</v>
      </c>
    </row>
    <row r="23" customFormat="false" ht="15" hidden="false" customHeight="true" outlineLevel="0" collapsed="false">
      <c r="A23" s="4" t="s">
        <v>29</v>
      </c>
      <c r="B23" s="4"/>
      <c r="C23" s="4"/>
    </row>
    <row r="24" customFormat="false" ht="15" hidden="false" customHeight="true" outlineLevel="0" collapsed="false">
      <c r="A24" s="5" t="s">
        <v>30</v>
      </c>
      <c r="B24" s="14" t="n">
        <f aca="false">B18*B9*B11</f>
        <v>2.1375</v>
      </c>
    </row>
    <row r="25" customFormat="false" ht="15" hidden="false" customHeight="true" outlineLevel="0" collapsed="false">
      <c r="A25" s="5" t="s">
        <v>31</v>
      </c>
      <c r="B25" s="14" t="n">
        <f aca="false">B21*B20*B12</f>
        <v>9.47625</v>
      </c>
    </row>
    <row r="26" customFormat="false" ht="15" hidden="false" customHeight="true" outlineLevel="0" collapsed="false">
      <c r="A26" s="5" t="s">
        <v>32</v>
      </c>
      <c r="B26" s="14" t="n">
        <f aca="false">B5*B7/1000000*B13</f>
        <v>0.03825</v>
      </c>
    </row>
    <row r="27" customFormat="false" ht="15" hidden="false" customHeight="true" outlineLevel="0" collapsed="false">
      <c r="A27" s="5" t="s">
        <v>33</v>
      </c>
      <c r="B27" s="14" t="n">
        <v>0</v>
      </c>
    </row>
    <row r="28" customFormat="false" ht="15" hidden="false" customHeight="true" outlineLevel="0" collapsed="false">
      <c r="A28" s="15" t="s">
        <v>34</v>
      </c>
      <c r="B28" s="16" t="n">
        <f aca="false">SUM(B24:B27)</f>
        <v>11.652</v>
      </c>
    </row>
    <row r="30" customFormat="false" ht="15" hidden="false" customHeight="true" outlineLevel="0" collapsed="false">
      <c r="A30" s="4" t="s">
        <v>35</v>
      </c>
      <c r="B30" s="4"/>
      <c r="C30" s="4"/>
    </row>
    <row r="31" customFormat="false" ht="15" hidden="false" customHeight="true" outlineLevel="0" collapsed="false">
      <c r="A31" s="15" t="s">
        <v>36</v>
      </c>
      <c r="B31" s="17" t="n">
        <f aca="false">B28*B14</f>
        <v>664.164</v>
      </c>
    </row>
    <row r="32" customFormat="false" ht="15" hidden="false" customHeight="true" outlineLevel="0" collapsed="false">
      <c r="A32" s="5" t="s">
        <v>37</v>
      </c>
      <c r="B32" s="18" t="n">
        <f aca="false">B31/B5</f>
        <v>2.656656</v>
      </c>
    </row>
    <row r="33" customFormat="false" ht="15" hidden="false" customHeight="true" outlineLevel="0" collapsed="false">
      <c r="A33" s="5" t="s">
        <v>38</v>
      </c>
      <c r="B33" s="18" t="n">
        <f aca="false">B15</f>
        <v>2999</v>
      </c>
    </row>
    <row r="34" customFormat="false" ht="15" hidden="false" customHeight="true" outlineLevel="0" collapsed="false">
      <c r="A34" s="15" t="s">
        <v>39</v>
      </c>
      <c r="B34" s="17" t="n">
        <f aca="false">B33-B31</f>
        <v>2334.836</v>
      </c>
    </row>
    <row r="35" customFormat="false" ht="15" hidden="false" customHeight="true" outlineLevel="0" collapsed="false">
      <c r="A35" s="15" t="s">
        <v>40</v>
      </c>
      <c r="B35" s="19" t="n">
        <f aca="false">B34/B33</f>
        <v>0.778538179393131</v>
      </c>
    </row>
    <row r="37" customFormat="false" ht="15" hidden="false" customHeight="true" outlineLevel="0" collapsed="false">
      <c r="A37" s="15" t="s">
        <v>41</v>
      </c>
    </row>
    <row r="38" customFormat="false" ht="15" hidden="false" customHeight="true" outlineLevel="0" collapsed="false">
      <c r="A38" s="20" t="s">
        <v>42</v>
      </c>
      <c r="B38" s="20"/>
      <c r="C38" s="20"/>
    </row>
    <row r="39" customFormat="false" ht="15" hidden="false" customHeight="true" outlineLevel="0" collapsed="false">
      <c r="A39" s="20" t="s">
        <v>43</v>
      </c>
      <c r="B39" s="20"/>
      <c r="C39" s="20"/>
    </row>
    <row r="40" customFormat="false" ht="15" hidden="false" customHeight="true" outlineLevel="0" collapsed="false">
      <c r="A40" s="20" t="s">
        <v>44</v>
      </c>
      <c r="B40" s="20"/>
      <c r="C40" s="20"/>
    </row>
    <row r="41" customFormat="false" ht="15" hidden="false" customHeight="true" outlineLevel="0" collapsed="false">
      <c r="A41" s="20" t="s">
        <v>45</v>
      </c>
      <c r="B41" s="20"/>
      <c r="C41" s="20"/>
    </row>
  </sheetData>
  <mergeCells count="10">
    <mergeCell ref="A1:C1"/>
    <mergeCell ref="A2:C2"/>
    <mergeCell ref="A4:C4"/>
    <mergeCell ref="A17:C17"/>
    <mergeCell ref="A23:C23"/>
    <mergeCell ref="A30:C30"/>
    <mergeCell ref="A38:C38"/>
    <mergeCell ref="A39:C39"/>
    <mergeCell ref="A40:C4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22"/>
  </cols>
  <sheetData>
    <row r="1" customFormat="false" ht="15.75" hidden="false" customHeight="true" outlineLevel="0" collapsed="false">
      <c r="A1" s="21" t="s">
        <v>46</v>
      </c>
      <c r="B1" s="21"/>
      <c r="C1" s="21"/>
      <c r="D1" s="21"/>
    </row>
    <row r="3" customFormat="false" ht="30" hidden="false" customHeight="true" outlineLevel="0" collapsed="false">
      <c r="A3" s="22" t="s">
        <v>47</v>
      </c>
      <c r="B3" s="22" t="s">
        <v>48</v>
      </c>
      <c r="C3" s="22" t="s">
        <v>49</v>
      </c>
      <c r="D3" s="22" t="s">
        <v>50</v>
      </c>
    </row>
    <row r="5" customFormat="false" ht="15" hidden="false" customHeight="true" outlineLevel="0" collapsed="false">
      <c r="A5" s="5" t="s">
        <v>3</v>
      </c>
      <c r="B5" s="23" t="n">
        <f aca="false">Calculator!$B$5</f>
        <v>250</v>
      </c>
      <c r="C5" s="23" t="n">
        <f aca="false">Calculator!$B$5</f>
        <v>250</v>
      </c>
      <c r="D5" s="23" t="n">
        <f aca="false">Calculator!$B$5</f>
        <v>250</v>
      </c>
    </row>
    <row r="6" customFormat="false" ht="15" hidden="false" customHeight="true" outlineLevel="0" collapsed="false">
      <c r="A6" s="5" t="s">
        <v>51</v>
      </c>
      <c r="B6" s="23" t="n">
        <f aca="false">Calculator!$B$6</f>
        <v>190</v>
      </c>
      <c r="C6" s="23" t="n">
        <f aca="false">Calculator!$B$6</f>
        <v>190</v>
      </c>
      <c r="D6" s="23" t="n">
        <f aca="false">Calculator!$B$6</f>
        <v>190</v>
      </c>
    </row>
    <row r="7" customFormat="false" ht="15" hidden="false" customHeight="true" outlineLevel="0" collapsed="false">
      <c r="A7" s="5" t="s">
        <v>25</v>
      </c>
      <c r="B7" s="24" t="n">
        <f aca="false">B5*B6/1000</f>
        <v>47.5</v>
      </c>
      <c r="C7" s="24" t="n">
        <f aca="false">C5*C6/1000</f>
        <v>47.5</v>
      </c>
      <c r="D7" s="24" t="n">
        <f aca="false">D5*D6/1000</f>
        <v>47.5</v>
      </c>
    </row>
    <row r="8" customFormat="false" ht="15" hidden="false" customHeight="true" outlineLevel="0" collapsed="false">
      <c r="A8" s="5" t="s">
        <v>52</v>
      </c>
      <c r="B8" s="23" t="n">
        <f aca="false">Calculator!$B$19</f>
        <v>60</v>
      </c>
      <c r="C8" s="23" t="n">
        <f aca="false">Calculator!$B$19</f>
        <v>60</v>
      </c>
      <c r="D8" s="23" t="n">
        <f aca="false">Calculator!$B$19</f>
        <v>60</v>
      </c>
    </row>
    <row r="9" customFormat="false" ht="15" hidden="false" customHeight="true" outlineLevel="0" collapsed="false">
      <c r="A9" s="5" t="s">
        <v>53</v>
      </c>
      <c r="B9" s="25" t="n">
        <f aca="false">Calculator!$B$11</f>
        <v>0.015</v>
      </c>
      <c r="C9" s="25" t="n">
        <f aca="false">Calculator!$B$11</f>
        <v>0.015</v>
      </c>
      <c r="D9" s="25" t="n">
        <f aca="false">Calculator!$B$11</f>
        <v>0.015</v>
      </c>
    </row>
    <row r="10" customFormat="false" ht="15" hidden="false" customHeight="true" outlineLevel="0" collapsed="false">
      <c r="A10" s="5" t="s">
        <v>54</v>
      </c>
      <c r="B10" s="25" t="n">
        <f aca="false">Calculator!$B$12</f>
        <v>0.01</v>
      </c>
      <c r="C10" s="25" t="n">
        <f aca="false">Calculator!$B$12</f>
        <v>0.01</v>
      </c>
      <c r="D10" s="25" t="n">
        <f aca="false">Calculator!$B$12</f>
        <v>0.01</v>
      </c>
    </row>
    <row r="11" customFormat="false" ht="15" hidden="false" customHeight="true" outlineLevel="0" collapsed="false">
      <c r="A11" s="5" t="s">
        <v>55</v>
      </c>
      <c r="B11" s="23" t="n">
        <f aca="false">Calculator!$B$14</f>
        <v>57</v>
      </c>
      <c r="C11" s="23" t="n">
        <f aca="false">Calculator!$B$14</f>
        <v>57</v>
      </c>
      <c r="D11" s="23" t="n">
        <f aca="false">Calculator!$B$14</f>
        <v>57</v>
      </c>
    </row>
    <row r="12" customFormat="false" ht="15" hidden="false" customHeight="true" outlineLevel="0" collapsed="false">
      <c r="A12" s="5" t="s">
        <v>38</v>
      </c>
      <c r="B12" s="26" t="n">
        <f aca="false">Calculator!$B$15</f>
        <v>2999</v>
      </c>
      <c r="C12" s="26" t="n">
        <f aca="false">Calculator!$B$15</f>
        <v>2999</v>
      </c>
      <c r="D12" s="26" t="n">
        <f aca="false">Calculator!$B$15</f>
        <v>2999</v>
      </c>
    </row>
    <row r="14" customFormat="false" ht="15" hidden="false" customHeight="true" outlineLevel="0" collapsed="false">
      <c r="A14" s="5" t="s">
        <v>11</v>
      </c>
      <c r="B14" s="8" t="n">
        <v>60</v>
      </c>
      <c r="C14" s="8" t="n">
        <v>3</v>
      </c>
      <c r="D14" s="8" t="n">
        <v>3</v>
      </c>
    </row>
    <row r="15" customFormat="false" ht="15" hidden="false" customHeight="true" outlineLevel="0" collapsed="false">
      <c r="A15" s="5" t="s">
        <v>56</v>
      </c>
      <c r="B15" s="9" t="n">
        <v>1</v>
      </c>
      <c r="C15" s="9" t="n">
        <v>0.35</v>
      </c>
      <c r="D15" s="9" t="n">
        <v>0.18</v>
      </c>
    </row>
    <row r="16" customFormat="false" ht="15" hidden="false" customHeight="true" outlineLevel="0" collapsed="false">
      <c r="A16" s="5" t="s">
        <v>57</v>
      </c>
      <c r="B16" s="27" t="n">
        <f aca="false">B9</f>
        <v>0.015</v>
      </c>
      <c r="C16" s="27" t="n">
        <f aca="false">C10</f>
        <v>0.01</v>
      </c>
      <c r="D16" s="27" t="n">
        <f aca="false">D10</f>
        <v>0.01</v>
      </c>
    </row>
    <row r="18" customFormat="false" ht="15" hidden="false" customHeight="true" outlineLevel="0" collapsed="false">
      <c r="A18" s="5" t="s">
        <v>27</v>
      </c>
      <c r="B18" s="28" t="n">
        <f aca="false">B8-B14</f>
        <v>0</v>
      </c>
      <c r="C18" s="28" t="n">
        <f aca="false">C8-C14</f>
        <v>57</v>
      </c>
      <c r="D18" s="28" t="n">
        <f aca="false">D8-D14</f>
        <v>57</v>
      </c>
    </row>
    <row r="19" customFormat="false" ht="15" hidden="false" customHeight="true" outlineLevel="0" collapsed="false">
      <c r="A19" s="5" t="s">
        <v>58</v>
      </c>
      <c r="B19" s="24" t="n">
        <f aca="false">B7*B15</f>
        <v>47.5</v>
      </c>
      <c r="C19" s="24" t="n">
        <f aca="false">C7*C15</f>
        <v>16.625</v>
      </c>
      <c r="D19" s="24" t="n">
        <f aca="false">D7*D15</f>
        <v>8.55</v>
      </c>
    </row>
    <row r="20" customFormat="false" ht="15" hidden="false" customHeight="true" outlineLevel="0" collapsed="false">
      <c r="A20" s="5" t="s">
        <v>59</v>
      </c>
      <c r="B20" s="29" t="n">
        <f aca="false">B7*B14*B9</f>
        <v>42.75</v>
      </c>
      <c r="C20" s="29" t="n">
        <f aca="false">C7*C14*C9</f>
        <v>2.1375</v>
      </c>
      <c r="D20" s="29" t="n">
        <f aca="false">D7*D14*D9</f>
        <v>2.1375</v>
      </c>
    </row>
    <row r="21" customFormat="false" ht="15" hidden="false" customHeight="true" outlineLevel="0" collapsed="false">
      <c r="A21" s="5" t="s">
        <v>60</v>
      </c>
      <c r="B21" s="29" t="n">
        <f aca="false">B19*B18*B16</f>
        <v>0</v>
      </c>
      <c r="C21" s="29" t="n">
        <f aca="false">C19*C18*C16</f>
        <v>9.47625</v>
      </c>
      <c r="D21" s="29" t="n">
        <f aca="false">D19*D18*D16</f>
        <v>4.8735</v>
      </c>
    </row>
    <row r="22" customFormat="false" ht="15" hidden="false" customHeight="true" outlineLevel="0" collapsed="false">
      <c r="A22" s="5" t="s">
        <v>61</v>
      </c>
      <c r="B22" s="30" t="n">
        <f aca="false">Calculator!$B$26</f>
        <v>0.03825</v>
      </c>
      <c r="C22" s="30" t="n">
        <f aca="false">Calculator!$B$26</f>
        <v>0.03825</v>
      </c>
      <c r="D22" s="30" t="n">
        <f aca="false">Calculator!$B$26</f>
        <v>0.03825</v>
      </c>
    </row>
    <row r="23" customFormat="false" ht="15" hidden="false" customHeight="true" outlineLevel="0" collapsed="false">
      <c r="A23" s="15" t="s">
        <v>62</v>
      </c>
      <c r="B23" s="31" t="n">
        <f aca="false">SUM(B20:B22)</f>
        <v>42.78825</v>
      </c>
      <c r="C23" s="31" t="n">
        <f aca="false">SUM(C20:C22)</f>
        <v>11.652</v>
      </c>
      <c r="D23" s="31" t="n">
        <f aca="false">SUM(D20:D22)</f>
        <v>7.04925</v>
      </c>
    </row>
    <row r="24" customFormat="false" ht="15" hidden="false" customHeight="true" outlineLevel="0" collapsed="false">
      <c r="A24" s="15" t="s">
        <v>63</v>
      </c>
      <c r="B24" s="32" t="n">
        <f aca="false">B23*B11</f>
        <v>2438.93025</v>
      </c>
      <c r="C24" s="32" t="n">
        <f aca="false">C23*C11</f>
        <v>664.164</v>
      </c>
      <c r="D24" s="32" t="n">
        <f aca="false">D23*D11</f>
        <v>401.80725</v>
      </c>
    </row>
    <row r="25" customFormat="false" ht="15" hidden="false" customHeight="true" outlineLevel="0" collapsed="false">
      <c r="A25" s="15" t="s">
        <v>39</v>
      </c>
      <c r="B25" s="32" t="n">
        <f aca="false">B12-B24</f>
        <v>560.06975</v>
      </c>
      <c r="C25" s="32" t="n">
        <f aca="false">C12-C24</f>
        <v>2334.836</v>
      </c>
      <c r="D25" s="32" t="n">
        <f aca="false">D12-D24</f>
        <v>2597.19275</v>
      </c>
    </row>
    <row r="26" customFormat="false" ht="15" hidden="false" customHeight="true" outlineLevel="0" collapsed="false">
      <c r="A26" s="15" t="s">
        <v>40</v>
      </c>
      <c r="B26" s="33" t="n">
        <f aca="false">B25/B12</f>
        <v>0.18675216738913</v>
      </c>
      <c r="C26" s="33" t="n">
        <f aca="false">C25/C12</f>
        <v>0.778538179393131</v>
      </c>
      <c r="D26" s="33" t="n">
        <f aca="false">D25/D12</f>
        <v>0.866019589863288</v>
      </c>
    </row>
    <row r="28" customFormat="false" ht="15" hidden="false" customHeight="true" outlineLevel="0" collapsed="false">
      <c r="A28" s="20" t="s">
        <v>64</v>
      </c>
      <c r="B28" s="20"/>
      <c r="C28" s="20"/>
      <c r="D28" s="20"/>
    </row>
  </sheetData>
  <mergeCells count="2">
    <mergeCell ref="A1:D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42"/>
  </cols>
  <sheetData>
    <row r="1" customFormat="false" ht="16.15" hidden="false" customHeight="false" outlineLevel="0" collapsed="false">
      <c r="A1" s="34" t="s">
        <v>65</v>
      </c>
      <c r="B1" s="34"/>
      <c r="C1" s="34"/>
    </row>
    <row r="2" customFormat="false" ht="15" hidden="false" customHeight="false" outlineLevel="0" collapsed="false">
      <c r="A2" s="35" t="s">
        <v>66</v>
      </c>
      <c r="B2" s="35"/>
      <c r="C2" s="35"/>
    </row>
    <row r="4" customFormat="false" ht="15" hidden="false" customHeight="false" outlineLevel="0" collapsed="false">
      <c r="A4" s="36" t="s">
        <v>67</v>
      </c>
      <c r="B4" s="36"/>
      <c r="C4" s="36"/>
    </row>
    <row r="5" customFormat="false" ht="15" hidden="false" customHeight="false" outlineLevel="0" collapsed="false">
      <c r="A5" s="37" t="s">
        <v>68</v>
      </c>
      <c r="B5" s="38" t="n">
        <v>1140</v>
      </c>
      <c r="C5" s="39" t="s">
        <v>69</v>
      </c>
    </row>
    <row r="6" customFormat="false" ht="15" hidden="false" customHeight="false" outlineLevel="0" collapsed="false">
      <c r="A6" s="37" t="s">
        <v>70</v>
      </c>
      <c r="B6" s="38" t="n">
        <v>1425</v>
      </c>
      <c r="C6" s="39" t="s">
        <v>71</v>
      </c>
    </row>
    <row r="7" customFormat="false" ht="15" hidden="false" customHeight="false" outlineLevel="0" collapsed="false">
      <c r="A7" s="37" t="s">
        <v>72</v>
      </c>
      <c r="B7" s="38" t="n">
        <v>1140</v>
      </c>
      <c r="C7" s="39" t="s">
        <v>73</v>
      </c>
    </row>
    <row r="8" customFormat="false" ht="15" hidden="false" customHeight="false" outlineLevel="0" collapsed="false">
      <c r="A8" s="37" t="s">
        <v>74</v>
      </c>
      <c r="B8" s="38" t="n">
        <v>1500</v>
      </c>
      <c r="C8" s="39" t="s">
        <v>75</v>
      </c>
    </row>
    <row r="9" customFormat="false" ht="15" hidden="false" customHeight="false" outlineLevel="0" collapsed="false">
      <c r="A9" s="37" t="s">
        <v>76</v>
      </c>
      <c r="B9" s="38" t="n">
        <v>1000</v>
      </c>
      <c r="C9" s="39" t="s">
        <v>77</v>
      </c>
    </row>
    <row r="10" customFormat="false" ht="15" hidden="false" customHeight="false" outlineLevel="0" collapsed="false">
      <c r="A10" s="37" t="s">
        <v>78</v>
      </c>
      <c r="B10" s="38" t="n">
        <v>1000</v>
      </c>
      <c r="C10" s="39" t="s">
        <v>77</v>
      </c>
    </row>
    <row r="11" customFormat="false" ht="15" hidden="false" customHeight="false" outlineLevel="0" collapsed="false">
      <c r="A11" s="37" t="s">
        <v>79</v>
      </c>
      <c r="B11" s="38" t="n">
        <v>500</v>
      </c>
      <c r="C11" s="39" t="s">
        <v>80</v>
      </c>
    </row>
    <row r="12" customFormat="false" ht="15" hidden="false" customHeight="false" outlineLevel="0" collapsed="false">
      <c r="A12" s="37" t="s">
        <v>81</v>
      </c>
      <c r="B12" s="38" t="n">
        <v>100</v>
      </c>
      <c r="C12" s="39" t="s">
        <v>82</v>
      </c>
    </row>
    <row r="13" customFormat="false" ht="15" hidden="false" customHeight="false" outlineLevel="0" collapsed="false">
      <c r="A13" s="37" t="s">
        <v>83</v>
      </c>
      <c r="B13" s="38" t="n">
        <v>500</v>
      </c>
      <c r="C13" s="39" t="s">
        <v>84</v>
      </c>
    </row>
    <row r="14" customFormat="false" ht="15" hidden="false" customHeight="false" outlineLevel="0" collapsed="false">
      <c r="A14" s="37" t="s">
        <v>85</v>
      </c>
      <c r="B14" s="38" t="n">
        <v>1000</v>
      </c>
      <c r="C14" s="39"/>
    </row>
    <row r="15" customFormat="false" ht="15" hidden="false" customHeight="false" outlineLevel="0" collapsed="false">
      <c r="A15" s="40" t="s">
        <v>86</v>
      </c>
      <c r="B15" s="41" t="n">
        <f aca="false">SUM(B5:B14)</f>
        <v>9305</v>
      </c>
    </row>
    <row r="17" customFormat="false" ht="15" hidden="false" customHeight="false" outlineLevel="0" collapsed="false">
      <c r="A17" s="36" t="s">
        <v>87</v>
      </c>
      <c r="B17" s="36"/>
      <c r="C17" s="36"/>
    </row>
    <row r="18" customFormat="false" ht="15" hidden="false" customHeight="false" outlineLevel="0" collapsed="false">
      <c r="A18" s="37" t="s">
        <v>88</v>
      </c>
      <c r="B18" s="42" t="n">
        <f aca="false">Calculator!B11*Calculator!B14</f>
        <v>0.855</v>
      </c>
      <c r="C18" s="39" t="s">
        <v>89</v>
      </c>
    </row>
    <row r="19" customFormat="false" ht="15" hidden="false" customHeight="false" outlineLevel="0" collapsed="false">
      <c r="A19" s="37" t="s">
        <v>90</v>
      </c>
      <c r="B19" s="43" t="n">
        <v>100</v>
      </c>
    </row>
    <row r="20" customFormat="false" ht="15" hidden="false" customHeight="false" outlineLevel="0" collapsed="false">
      <c r="A20" s="37" t="s">
        <v>91</v>
      </c>
      <c r="B20" s="44" t="n">
        <v>0.2</v>
      </c>
      <c r="C20" s="39" t="s">
        <v>92</v>
      </c>
    </row>
    <row r="21" customFormat="false" ht="15" hidden="false" customHeight="false" outlineLevel="0" collapsed="false">
      <c r="A21" s="37" t="s">
        <v>93</v>
      </c>
      <c r="B21" s="43" t="n">
        <v>100</v>
      </c>
    </row>
    <row r="22" customFormat="false" ht="15" hidden="false" customHeight="false" outlineLevel="0" collapsed="false">
      <c r="A22" s="37" t="s">
        <v>94</v>
      </c>
      <c r="B22" s="44" t="n">
        <v>0.5</v>
      </c>
      <c r="C22" s="39" t="s">
        <v>95</v>
      </c>
    </row>
    <row r="23" customFormat="false" ht="15" hidden="false" customHeight="false" outlineLevel="0" collapsed="false">
      <c r="A23" s="37" t="s">
        <v>96</v>
      </c>
      <c r="B23" s="45" t="n">
        <f aca="false">B19*B20*B18</f>
        <v>17.1</v>
      </c>
    </row>
    <row r="24" customFormat="false" ht="15" hidden="false" customHeight="false" outlineLevel="0" collapsed="false">
      <c r="A24" s="37" t="s">
        <v>97</v>
      </c>
      <c r="B24" s="45" t="n">
        <f aca="false">B21*B22*B18</f>
        <v>42.75</v>
      </c>
    </row>
    <row r="25" customFormat="false" ht="15" hidden="false" customHeight="false" outlineLevel="0" collapsed="false">
      <c r="A25" s="40" t="s">
        <v>98</v>
      </c>
      <c r="B25" s="46" t="n">
        <f aca="false">B23+B24</f>
        <v>59.85</v>
      </c>
    </row>
    <row r="26" customFormat="false" ht="15" hidden="false" customHeight="false" outlineLevel="0" collapsed="false">
      <c r="A26" s="37" t="s">
        <v>99</v>
      </c>
      <c r="B26" s="45" t="n">
        <f aca="false">B20*B18*12</f>
        <v>2.052</v>
      </c>
    </row>
    <row r="27" customFormat="false" ht="15" hidden="false" customHeight="false" outlineLevel="0" collapsed="false">
      <c r="A27" s="37" t="s">
        <v>100</v>
      </c>
      <c r="B27" s="45" t="n">
        <f aca="false">B22*B18*12</f>
        <v>5.13</v>
      </c>
    </row>
    <row r="29" customFormat="false" ht="15" hidden="false" customHeight="false" outlineLevel="0" collapsed="false">
      <c r="A29" s="36" t="s">
        <v>101</v>
      </c>
      <c r="B29" s="36"/>
      <c r="C29" s="36"/>
    </row>
    <row r="30" customFormat="false" ht="15" hidden="false" customHeight="false" outlineLevel="0" collapsed="false">
      <c r="A30" s="37" t="s">
        <v>102</v>
      </c>
      <c r="B30" s="43" t="n">
        <v>0</v>
      </c>
    </row>
    <row r="31" customFormat="false" ht="15" hidden="false" customHeight="false" outlineLevel="0" collapsed="false">
      <c r="A31" s="37" t="s">
        <v>103</v>
      </c>
      <c r="B31" s="38" t="n">
        <v>6000</v>
      </c>
      <c r="C31" s="39" t="s">
        <v>104</v>
      </c>
    </row>
    <row r="32" customFormat="false" ht="15" hidden="false" customHeight="false" outlineLevel="0" collapsed="false">
      <c r="A32" s="37" t="s">
        <v>105</v>
      </c>
      <c r="B32" s="43" t="n">
        <v>0</v>
      </c>
    </row>
    <row r="33" customFormat="false" ht="15" hidden="false" customHeight="false" outlineLevel="0" collapsed="false">
      <c r="A33" s="37" t="s">
        <v>106</v>
      </c>
      <c r="B33" s="38" t="n">
        <v>10000</v>
      </c>
    </row>
    <row r="34" customFormat="false" ht="15" hidden="false" customHeight="false" outlineLevel="0" collapsed="false">
      <c r="A34" s="37" t="s">
        <v>107</v>
      </c>
      <c r="B34" s="43" t="n">
        <v>0</v>
      </c>
      <c r="C34" s="39" t="s">
        <v>108</v>
      </c>
    </row>
    <row r="35" customFormat="false" ht="15" hidden="false" customHeight="false" outlineLevel="0" collapsed="false">
      <c r="A35" s="37" t="s">
        <v>109</v>
      </c>
      <c r="B35" s="38" t="n">
        <v>2999</v>
      </c>
    </row>
    <row r="36" customFormat="false" ht="15" hidden="false" customHeight="false" outlineLevel="0" collapsed="false">
      <c r="A36" s="37" t="s">
        <v>110</v>
      </c>
      <c r="B36" s="38" t="n">
        <v>0</v>
      </c>
    </row>
    <row r="37" customFormat="false" ht="15" hidden="false" customHeight="false" outlineLevel="0" collapsed="false">
      <c r="A37" s="37" t="s">
        <v>111</v>
      </c>
      <c r="B37" s="38" t="n">
        <v>0</v>
      </c>
    </row>
    <row r="38" customFormat="false" ht="15" hidden="false" customHeight="false" outlineLevel="0" collapsed="false">
      <c r="A38" s="40" t="s">
        <v>112</v>
      </c>
      <c r="B38" s="41" t="n">
        <f aca="false">B30*B31+B32*B33+B34*B35+B36+B37</f>
        <v>0</v>
      </c>
    </row>
    <row r="40" customFormat="false" ht="15" hidden="false" customHeight="false" outlineLevel="0" collapsed="false">
      <c r="A40" s="36" t="s">
        <v>113</v>
      </c>
      <c r="B40" s="36"/>
      <c r="C40" s="36"/>
    </row>
    <row r="41" customFormat="false" ht="15" hidden="false" customHeight="false" outlineLevel="0" collapsed="false">
      <c r="A41" s="40" t="s">
        <v>114</v>
      </c>
      <c r="B41" s="47" t="n">
        <f aca="false">B15+B25</f>
        <v>9364.85</v>
      </c>
    </row>
    <row r="42" customFormat="false" ht="15" hidden="false" customHeight="false" outlineLevel="0" collapsed="false">
      <c r="A42" s="40" t="s">
        <v>115</v>
      </c>
      <c r="B42" s="47" t="n">
        <f aca="false">B38</f>
        <v>0</v>
      </c>
    </row>
    <row r="43" customFormat="false" ht="15" hidden="false" customHeight="false" outlineLevel="0" collapsed="false">
      <c r="A43" s="40" t="s">
        <v>116</v>
      </c>
      <c r="B43" s="48" t="n">
        <f aca="false">B38-B41</f>
        <v>-9364.85</v>
      </c>
    </row>
    <row r="44" customFormat="false" ht="15" hidden="false" customHeight="false" outlineLevel="0" collapsed="false">
      <c r="A44" s="37" t="s">
        <v>117</v>
      </c>
      <c r="B44" s="49" t="n">
        <f aca="false">B41/B31</f>
        <v>1.56080833333333</v>
      </c>
    </row>
    <row r="45" customFormat="false" ht="15" hidden="false" customHeight="false" outlineLevel="0" collapsed="false">
      <c r="A45" s="37" t="s">
        <v>118</v>
      </c>
      <c r="B45" s="49" t="n">
        <f aca="false">B41/B35</f>
        <v>3.12265755251751</v>
      </c>
    </row>
    <row r="46" customFormat="false" ht="15" hidden="false" customHeight="false" outlineLevel="0" collapsed="false">
      <c r="A46" s="37" t="s">
        <v>119</v>
      </c>
      <c r="B46" s="50" t="n">
        <f aca="false">(B41/B31)/B19</f>
        <v>0.0156080833333333</v>
      </c>
    </row>
    <row r="48" customFormat="false" ht="15" hidden="false" customHeight="false" outlineLevel="0" collapsed="false">
      <c r="A48" s="35" t="s">
        <v>120</v>
      </c>
      <c r="B48" s="35"/>
      <c r="C48" s="35"/>
    </row>
  </sheetData>
  <mergeCells count="7">
    <mergeCell ref="A1:C1"/>
    <mergeCell ref="A2:C2"/>
    <mergeCell ref="A4:C4"/>
    <mergeCell ref="A17:C17"/>
    <mergeCell ref="A29:C29"/>
    <mergeCell ref="A40:C40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2026-06-20T05:06:38Z</dcterms:created>
  <dc:creator>openpyxl</dc:creator>
  <dc:description/>
  <dc:language>en-PH</dc:language>
  <cp:lastModifiedBy/>
  <dcterms:modified xsi:type="dcterms:W3CDTF">2026-06-20T06:14:53Z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