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cing Overview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One-Time Setup" sheetId="3" state="visible" r:id="rId3"/>
    <sheet xmlns:r="http://schemas.openxmlformats.org/officeDocument/2006/relationships" name="Margin Analysis" sheetId="4" state="visible" r:id="rId4"/>
    <sheet xmlns:r="http://schemas.openxmlformats.org/officeDocument/2006/relationships" name="Read M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₱#,##0;[RED]&quot;(₱&quot;#,##0\);\-"/>
    <numFmt numFmtId="165" formatCode="0.0%;[RED]\(0.0%\);\-"/>
    <numFmt numFmtId="166" formatCode="\₱#,##0.00;[RED]&quot;(₱&quot;#,##0.00\)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8"/>
    </font>
    <font>
      <name val="Arial"/>
      <charset val="1"/>
      <family val="0"/>
      <i val="1"/>
      <color rgb="FF6B6B6B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8C4A28"/>
      <sz val="12"/>
    </font>
    <font>
      <name val="Arial"/>
      <charset val="1"/>
      <family val="0"/>
      <color rgb="FF6B6B6B"/>
      <sz val="10"/>
    </font>
    <font>
      <name val="Arial"/>
      <charset val="1"/>
      <family val="0"/>
      <b val="1"/>
      <color rgb="FF1A1A1A"/>
      <sz val="16"/>
    </font>
    <font>
      <name val="Arial"/>
      <charset val="1"/>
      <family val="0"/>
      <b val="1"/>
      <color rgb="FF8C4A28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8C4A28"/>
      <sz val="11"/>
    </font>
    <font>
      <name val="Arial"/>
      <charset val="1"/>
      <family val="0"/>
      <color rgb="FF008000"/>
      <sz val="10"/>
    </font>
    <font>
      <name val="Arial"/>
      <charset val="1"/>
      <family val="0"/>
      <color rgb="FF1A1A1A"/>
      <sz val="10"/>
    </font>
  </fonts>
  <fills count="6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0F0EC"/>
        <bgColor rgb="FFF5EFE5"/>
      </patternFill>
    </fill>
    <fill>
      <patternFill patternType="solid">
        <fgColor rgb="FFF5EFE5"/>
        <bgColor rgb="FFF0F0EC"/>
      </patternFill>
    </fill>
    <fill>
      <patternFill patternType="solid">
        <fgColor rgb="FFF4E2C8"/>
        <bgColor rgb="FFF5EFE5"/>
      </patternFill>
    </fill>
  </fills>
  <borders count="7">
    <border>
      <left/>
      <right/>
      <top/>
      <bottom/>
      <diagonal/>
    </border>
    <border>
      <left style="medium">
        <color rgb="FF1A1A1A"/>
      </left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 style="thin">
        <color rgb="FFD8D2C7"/>
      </left>
      <right style="thin">
        <color rgb="FFD8D2C7"/>
      </right>
      <top style="thin">
        <color rgb="FFD8D2C7"/>
      </top>
      <bottom style="thin">
        <color rgb="FFD8D2C7"/>
      </bottom>
      <diagonal/>
    </border>
    <border>
      <left/>
      <right/>
      <top style="thin">
        <color rgb="FFD8D2C7"/>
      </top>
      <bottom/>
      <diagonal/>
    </border>
    <border>
      <left/>
      <right style="thin">
        <color rgb="FFD8D2C7"/>
      </right>
      <top style="thin">
        <color rgb="FFD8D2C7"/>
      </top>
      <bottom/>
      <diagonal/>
    </border>
    <border>
      <left/>
      <right/>
      <top style="thin">
        <color rgb="FFD8D2C7"/>
      </top>
      <bottom style="thin">
        <color rgb="FFD8D2C7"/>
      </bottom>
      <diagonal/>
    </border>
    <border>
      <left/>
      <right style="thin">
        <color rgb="FFD8D2C7"/>
      </right>
      <top style="thin">
        <color rgb="FFD8D2C7"/>
      </top>
      <bottom style="thin">
        <color rgb="FFD8D2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top" wrapText="1"/>
    </xf>
    <xf numFmtId="164" fontId="8" fillId="3" borderId="2" applyAlignment="1" pivotButton="0" quotePrefix="0" xfId="0">
      <alignment horizontal="left" vertical="top" wrapText="1"/>
    </xf>
    <xf numFmtId="164" fontId="7" fillId="3" borderId="2" applyAlignment="1" pivotButton="0" quotePrefix="0" xfId="0">
      <alignment horizontal="left" vertical="top" wrapText="1"/>
    </xf>
    <xf numFmtId="165" fontId="7" fillId="3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left" vertical="top" wrapText="1"/>
    </xf>
    <xf numFmtId="164" fontId="7" fillId="0" borderId="2" applyAlignment="1" pivotButton="0" quotePrefix="0" xfId="0">
      <alignment horizontal="left" vertical="top" wrapText="1"/>
    </xf>
    <xf numFmtId="165" fontId="7" fillId="0" borderId="2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4" borderId="2" applyAlignment="1" pivotButton="0" quotePrefix="0" xfId="0">
      <alignment horizontal="left" vertical="center"/>
    </xf>
    <xf numFmtId="0" fontId="13" fillId="5" borderId="2" applyAlignment="1" pivotButton="0" quotePrefix="0" xfId="0">
      <alignment horizontal="left" vertical="center"/>
    </xf>
    <xf numFmtId="164" fontId="13" fillId="5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left" vertical="top" wrapText="1"/>
    </xf>
    <xf numFmtId="166" fontId="7" fillId="0" borderId="2" applyAlignment="1" pivotButton="0" quotePrefix="0" xfId="0">
      <alignment horizontal="left" vertical="top" wrapText="1"/>
    </xf>
    <xf numFmtId="3" fontId="8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164" fontId="15" fillId="5" borderId="0" applyAlignment="1" pivotButton="0" quotePrefix="0" xfId="0">
      <alignment horizontal="general" vertical="bottom"/>
    </xf>
    <xf numFmtId="164" fontId="16" fillId="0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top" wrapText="1"/>
    </xf>
    <xf numFmtId="164" fontId="8" fillId="3" borderId="2" applyAlignment="1" pivotButton="0" quotePrefix="0" xfId="0">
      <alignment horizontal="left" vertical="top" wrapText="1"/>
    </xf>
    <xf numFmtId="164" fontId="7" fillId="3" borderId="2" applyAlignment="1" pivotButton="0" quotePrefix="0" xfId="0">
      <alignment horizontal="left" vertical="top" wrapText="1"/>
    </xf>
    <xf numFmtId="165" fontId="7" fillId="3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164" fontId="8" fillId="0" borderId="2" applyAlignment="1" pivotButton="0" quotePrefix="0" xfId="0">
      <alignment horizontal="left" vertical="top" wrapText="1"/>
    </xf>
    <xf numFmtId="164" fontId="7" fillId="0" borderId="2" applyAlignment="1" pivotButton="0" quotePrefix="0" xfId="0">
      <alignment horizontal="left" vertical="top" wrapText="1"/>
    </xf>
    <xf numFmtId="165" fontId="7" fillId="0" borderId="2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4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3" fillId="5" borderId="2" applyAlignment="1" pivotButton="0" quotePrefix="0" xfId="0">
      <alignment horizontal="left" vertical="center"/>
    </xf>
    <xf numFmtId="164" fontId="13" fillId="5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left" vertical="top" wrapText="1"/>
    </xf>
    <xf numFmtId="166" fontId="7" fillId="0" borderId="2" applyAlignment="1" pivotButton="0" quotePrefix="0" xfId="0">
      <alignment horizontal="left" vertical="top" wrapText="1"/>
    </xf>
    <xf numFmtId="3" fontId="8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164" fontId="15" fillId="5" borderId="0" applyAlignment="1" pivotButton="0" quotePrefix="0" xfId="0">
      <alignment horizontal="general" vertical="bottom"/>
    </xf>
    <xf numFmtId="164" fontId="16" fillId="0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7"/>
      <rgbColor rgb="FF808080"/>
      <rgbColor rgb="FF9999FF"/>
      <rgbColor rgb="FF993366"/>
      <rgbColor rgb="FFF5EFE5"/>
      <rgbColor rgb="FFF0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E2C8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8C4A28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26" min="1" max="1"/>
    <col width="32" customWidth="1" style="26" min="2" max="2"/>
    <col width="60" customWidth="1" style="26" min="3" max="3"/>
    <col width="17" customWidth="1" style="26" min="4" max="4"/>
    <col width="18" customWidth="1" style="26" min="5" max="5"/>
    <col width="14" customWidth="1" style="26" min="6" max="6"/>
    <col width="10" customWidth="1" style="26" min="7" max="7"/>
  </cols>
  <sheetData>
    <row r="1" ht="22.05" customHeight="1" s="27">
      <c r="A1" s="28" t="inlineStr">
        <is>
          <t>Setnayan · Master Pricing &amp; Cost Workbook</t>
        </is>
      </c>
    </row>
    <row r="2" ht="15" customHeight="1" s="27">
      <c r="A2" s="29" t="inlineStr">
        <is>
          <t>All amounts in PHP (Philippine pesos) · 2026-05-08 · v1</t>
        </is>
      </c>
    </row>
    <row r="3"/>
    <row r="4" ht="30" customHeight="1" s="27">
      <c r="A4" s="30" t="inlineStr">
        <is>
          <t>Iteration / Folder</t>
        </is>
      </c>
      <c r="B4" s="30" t="inlineStr">
        <is>
          <t>SKU / Product</t>
        </is>
      </c>
      <c r="C4" s="30" t="inlineStr">
        <is>
          <t>What couple gets</t>
        </is>
      </c>
      <c r="D4" s="30" t="inlineStr">
        <is>
          <t>Couple price (₱)</t>
        </is>
      </c>
      <c r="E4" s="30" t="inlineStr">
        <is>
          <t>Cost to deliver (₱)</t>
        </is>
      </c>
      <c r="F4" s="30" t="inlineStr">
        <is>
          <t>Margin (₱)</t>
        </is>
      </c>
      <c r="G4" s="30" t="inlineStr">
        <is>
          <t>Margin %</t>
        </is>
      </c>
    </row>
    <row r="5" ht="37.5" customHeight="1" s="27">
      <c r="A5" s="31" t="inlineStr">
        <is>
          <t>0001 · Guest List Management</t>
        </is>
      </c>
      <c r="B5" s="31" t="inlineStr">
        <is>
          <t>Included in base tier</t>
        </is>
      </c>
      <c r="C5" s="31" t="inlineStr">
        <is>
          <t>Add/edit/categorize guests, role taxonomy, CSV import, household grouping. No per-couple charge — included in any Paparazzi tier.</t>
        </is>
      </c>
      <c r="D5" s="32" t="n">
        <v>0</v>
      </c>
      <c r="E5" s="32" t="n">
        <v>0</v>
      </c>
      <c r="F5" s="33">
        <f>D5-E5</f>
        <v/>
      </c>
      <c r="G5" s="34">
        <f>IF(D5=0,0,(D5-E5)/D5)</f>
        <v/>
      </c>
    </row>
    <row r="6" ht="37.5" customHeight="1" s="27">
      <c r="A6" s="31" t="inlineStr">
        <is>
          <t>0002 · QR &amp; Personal Invitation Site</t>
        </is>
      </c>
      <c r="B6" s="31" t="inlineStr">
        <is>
          <t>Included in base tier</t>
        </is>
      </c>
      <c r="C6" s="31" t="inlineStr">
        <is>
          <t>Personal invitation site for every guest with QR, RSVP, schedule, dress code, photo placeholders. Included with any Paparazzi tier.</t>
        </is>
      </c>
      <c r="D6" s="32" t="n">
        <v>0</v>
      </c>
      <c r="E6" s="32" t="n">
        <v>0</v>
      </c>
      <c r="F6" s="33">
        <f>D6-E6</f>
        <v/>
      </c>
      <c r="G6" s="34">
        <f>IF(D6=0,0,(D6-E6)/D6)</f>
        <v/>
      </c>
    </row>
    <row r="7" ht="37.5" customHeight="1" s="27">
      <c r="A7" s="31" t="inlineStr">
        <is>
          <t>0002 · QR Token Re-issue</t>
        </is>
      </c>
      <c r="B7" s="31" t="inlineStr">
        <is>
          <t>Per-guest token rotation</t>
        </is>
      </c>
      <c r="C7" s="31" t="inlineStr">
        <is>
          <t>Couple rotates one guest's QR if their card is lost. Free.</t>
        </is>
      </c>
      <c r="D7" s="32" t="n">
        <v>0</v>
      </c>
      <c r="E7" s="32" t="n">
        <v>0</v>
      </c>
      <c r="F7" s="33">
        <f>D7-E7</f>
        <v/>
      </c>
      <c r="G7" s="34">
        <f>IF(D7=0,0,(D7-E7)/D7)</f>
        <v/>
      </c>
    </row>
    <row r="8" ht="37.5" customHeight="1" s="27">
      <c r="A8" s="31" t="inlineStr">
        <is>
          <t>0003 · Invitation Widgets Editor</t>
        </is>
      </c>
      <c r="B8" s="31" t="inlineStr">
        <is>
          <t>Editor (free)</t>
        </is>
      </c>
      <c r="C8" s="31" t="inlineStr">
        <is>
          <t>10 widgets configurable in 3-panel editor with live preview. Basic tier of every widget is included with Paparazzi tier.</t>
        </is>
      </c>
      <c r="D8" s="32" t="n">
        <v>0</v>
      </c>
      <c r="E8" s="32" t="n">
        <v>0</v>
      </c>
      <c r="F8" s="33">
        <f>D8-E8</f>
        <v/>
      </c>
      <c r="G8" s="34">
        <f>IF(D8=0,0,(D8-E8)/D8)</f>
        <v/>
      </c>
    </row>
    <row r="9" ht="37.5" customHeight="1" s="27">
      <c r="A9" s="35" t="inlineStr">
        <is>
          <t>0003 · Hero Monogram Pro animation</t>
        </is>
      </c>
      <c r="B9" s="35" t="inlineStr">
        <is>
          <t>Trace-then-morph animation</t>
        </is>
      </c>
      <c r="C9" s="35" t="inlineStr">
        <is>
          <t>Names trace in handwritten, morph into the monogram, frame draws around. 6s loop on every guest's invitation.</t>
        </is>
      </c>
      <c r="D9" s="36" t="n">
        <v>99</v>
      </c>
      <c r="E9" s="36" t="n">
        <v>0</v>
      </c>
      <c r="F9" s="37">
        <f>D9-E9</f>
        <v/>
      </c>
      <c r="G9" s="38">
        <f>IF(D9=0,0,(D9-E9)/D9)</f>
        <v/>
      </c>
    </row>
    <row r="10" ht="37.5" customHeight="1" s="27">
      <c r="A10" s="35" t="inlineStr">
        <is>
          <t>0003 · Venue Pro Waze deep-links</t>
        </is>
      </c>
      <c r="B10" s="35" t="inlineStr">
        <is>
          <t>Native map app deep-links</t>
        </is>
      </c>
      <c r="C10" s="35" t="inlineStr">
        <is>
          <t>Venue cards open natively in Waze + Google Maps instead of generic 'Get directions'.</t>
        </is>
      </c>
      <c r="D10" s="36" t="n">
        <v>99</v>
      </c>
      <c r="E10" s="36" t="n">
        <v>0</v>
      </c>
      <c r="F10" s="37">
        <f>D10-E10</f>
        <v/>
      </c>
      <c r="G10" s="38">
        <f>IF(D10=0,0,(D10-E10)/D10)</f>
        <v/>
      </c>
    </row>
    <row r="11" ht="37.5" customHeight="1" s="27">
      <c r="A11" s="35" t="inlineStr">
        <is>
          <t>0003 · Pro Bundle (Hero animation + Venue Waze)</t>
        </is>
      </c>
      <c r="B11" s="35" t="inlineStr">
        <is>
          <t>Bundle of two original Pro upgrades</t>
        </is>
      </c>
      <c r="C11" s="35" t="inlineStr">
        <is>
          <t>Trace-then-morph animation + Venue Waze. Saves ₱49 vs buying both individually. Superseded by Hero Monogram Pro Bundle for couples buying multiple Hero upgrades.</t>
        </is>
      </c>
      <c r="D11" s="36" t="n">
        <v>149</v>
      </c>
      <c r="E11" s="36" t="n">
        <v>0</v>
      </c>
      <c r="F11" s="37">
        <f>D11-E11</f>
        <v/>
      </c>
      <c r="G11" s="38">
        <f>IF(D11=0,0,(D11-E11)/D11)</f>
        <v/>
      </c>
    </row>
    <row r="12" ht="37.5" customHeight="1" s="27">
      <c r="A12" s="31" t="inlineStr">
        <is>
          <t>0004 · LED Background Maker</t>
        </is>
      </c>
      <c r="B12" s="31" t="inlineStr">
        <is>
          <t>Editor + drafts (free)</t>
        </is>
      </c>
      <c r="C12" s="31" t="inlineStr">
        <is>
          <t>10 templates, customization, live preview. Drafts and previews are always free; couple only pays per render.</t>
        </is>
      </c>
      <c r="D12" s="32" t="n">
        <v>0</v>
      </c>
      <c r="E12" s="32" t="n">
        <v>0</v>
      </c>
      <c r="F12" s="33">
        <f>D12-E12</f>
        <v/>
      </c>
      <c r="G12" s="34">
        <f>IF(D12=0,0,(D12-E12)/D12)</f>
        <v/>
      </c>
    </row>
    <row r="13" ht="37.5" customHeight="1" s="27">
      <c r="A13" s="35" t="inlineStr">
        <is>
          <t>0004 · LED Background — 1080p render</t>
        </is>
      </c>
      <c r="B13" s="35" t="inlineStr">
        <is>
          <t>1920×1080 H.264 30s loop</t>
        </is>
      </c>
      <c r="C13" s="35" t="inlineStr">
        <is>
          <t>~30 MB, ~3 min render time. Suitable for projection screens, prep rooms, smaller LED panels.</t>
        </is>
      </c>
      <c r="D13" s="36" t="n">
        <v>249</v>
      </c>
      <c r="E13" s="36" t="n">
        <v>25</v>
      </c>
      <c r="F13" s="37">
        <f>D13-E13</f>
        <v/>
      </c>
      <c r="G13" s="38">
        <f>IF(D13=0,0,(D13-E13)/D13)</f>
        <v/>
      </c>
    </row>
    <row r="14" ht="37.5" customHeight="1" s="27">
      <c r="A14" s="35" t="inlineStr">
        <is>
          <t>0004 · LED Background — 4K render</t>
        </is>
      </c>
      <c r="B14" s="35" t="inlineStr">
        <is>
          <t>3840×2160 H.264 30s loop</t>
        </is>
      </c>
      <c r="C14" s="35" t="inlineStr">
        <is>
          <t>~70 MB, ~5 min render time. Standard LED wall resolution at most venues.</t>
        </is>
      </c>
      <c r="D14" s="36" t="n">
        <v>399</v>
      </c>
      <c r="E14" s="36" t="n">
        <v>40</v>
      </c>
      <c r="F14" s="37">
        <f>D14-E14</f>
        <v/>
      </c>
      <c r="G14" s="38">
        <f>IF(D14=0,0,(D14-E14)/D14)</f>
        <v/>
      </c>
    </row>
    <row r="15" ht="37.5" customHeight="1" s="27">
      <c r="A15" s="35" t="inlineStr">
        <is>
          <t>0004 · LED Background — 8K render</t>
        </is>
      </c>
      <c r="B15" s="35" t="inlineStr">
        <is>
          <t>7680×4320 H.264 30s loop</t>
        </is>
      </c>
      <c r="C15" s="35" t="inlineStr">
        <is>
          <t>~120 MB, ~8 min render time. Premium / high-end LED walls.</t>
        </is>
      </c>
      <c r="D15" s="36" t="n">
        <v>599</v>
      </c>
      <c r="E15" s="36" t="n">
        <v>60</v>
      </c>
      <c r="F15" s="37">
        <f>D15-E15</f>
        <v/>
      </c>
      <c r="G15" s="38">
        <f>IF(D15=0,0,(D15-E15)/D15)</f>
        <v/>
      </c>
    </row>
    <row r="16" ht="37.5" customHeight="1" s="27">
      <c r="A16" s="35" t="inlineStr">
        <is>
          <t>0004 · LED Background — Custom resolution</t>
        </is>
      </c>
      <c r="B16" s="35" t="inlineStr">
        <is>
          <t>Couple-specified pixel dimensions</t>
        </is>
      </c>
      <c r="C16" s="35" t="inlineStr">
        <is>
          <t>For LED walls that don't fit standard ratios. Couple inputs exact pixel dimensions (e.g., 5760×1080 ultrawide). Renderer adapts viewBox.</t>
        </is>
      </c>
      <c r="D16" s="36" t="n">
        <v>899</v>
      </c>
      <c r="E16" s="36" t="n">
        <v>90</v>
      </c>
      <c r="F16" s="37">
        <f>D16-E16</f>
        <v/>
      </c>
      <c r="G16" s="38">
        <f>IF(D16=0,0,(D16-E16)/D16)</f>
        <v/>
      </c>
    </row>
    <row r="17" ht="37.5" customHeight="1" s="27">
      <c r="A17" s="35" t="inlineStr">
        <is>
          <t>0004 · LED Background — Photo Pool blend</t>
        </is>
      </c>
      <c r="B17" s="35" t="inlineStr">
        <is>
          <t>Premium add-on to any resolution</t>
        </is>
      </c>
      <c r="C17" s="35" t="inlineStr">
        <is>
          <t>Couple's photos at 30% opacity blended behind the monogram. Live link mode (auto-refresh every 6h) or static (locked at render). Premium because of R2 photo storage + extra compositing pass + auto-rebuild pipeline.</t>
        </is>
      </c>
      <c r="D17" s="36" t="n">
        <v>1999</v>
      </c>
      <c r="E17" s="36" t="n">
        <v>60</v>
      </c>
      <c r="F17" s="37">
        <f>D17-E17</f>
        <v/>
      </c>
      <c r="G17" s="38">
        <f>IF(D17=0,0,(D17-E17)/D17)</f>
        <v/>
      </c>
    </row>
    <row r="18" ht="37.5" customHeight="1" s="27">
      <c r="A18" s="35" t="inlineStr">
        <is>
          <t>0004 · LED Background — Ultrawide aspect (&gt;21:9)</t>
        </is>
      </c>
      <c r="B18" s="35" t="inlineStr">
        <is>
          <t>Premium add-on for non-standard wall ratios</t>
        </is>
      </c>
      <c r="C18" s="35" t="inlineStr">
        <is>
          <t>Venue LED wall is ultrawide / panoramic / non-16:9. Custom viewBox handling, longer render time, manual quality review. Premium pricing reflects bespoke setup work.</t>
        </is>
      </c>
      <c r="D18" s="36" t="n">
        <v>1499</v>
      </c>
      <c r="E18" s="36" t="n">
        <v>120</v>
      </c>
      <c r="F18" s="37">
        <f>D18-E18</f>
        <v/>
      </c>
      <c r="G18" s="38">
        <f>IF(D18=0,0,(D18-E18)/D18)</f>
        <v/>
      </c>
    </row>
    <row r="19" ht="37.5" customHeight="1" s="27">
      <c r="A19" s="35" t="inlineStr">
        <is>
          <t>0004 · LED Background — Live playback URL</t>
        </is>
      </c>
      <c r="B19" s="35" t="inlineStr">
        <is>
          <t>Hosted streaming URL · paid convenience add-on</t>
        </is>
      </c>
      <c r="C19" s="35" t="inlineStr">
        <is>
          <t>setnayan.com/led/{event-slug}/r/{render_id}.mp4 + HLS manifest. Venue tech pastes the URL into their LED playback system instead of file transfer. MP4 download is included with every render (offline-safe primary); the hosted URL is a paid convenience.</t>
        </is>
      </c>
      <c r="D19" s="36" t="n">
        <v>99</v>
      </c>
      <c r="E19" s="36" t="n">
        <v>8</v>
      </c>
      <c r="F19" s="37">
        <f>D19-E19</f>
        <v/>
      </c>
      <c r="G19" s="38">
        <f>IF(D19=0,0,(D19-E19)/D19)</f>
        <v/>
      </c>
    </row>
    <row r="20" ht="37.5" customHeight="1" s="27">
      <c r="A20" s="35" t="inlineStr">
        <is>
          <t>0003 · Hero Monogram Pro — Glow effect</t>
        </is>
      </c>
      <c r="B20" s="35" t="inlineStr">
        <is>
          <t>Pulsing halo around monogram</t>
        </is>
      </c>
      <c r="C20" s="35" t="inlineStr">
        <is>
          <t>Subtle pulsing glow behind the monogram on the hero. Pre-programmed CSS, zero marginal cost.</t>
        </is>
      </c>
      <c r="D20" s="36" t="n">
        <v>99</v>
      </c>
      <c r="E20" s="36" t="n">
        <v>0</v>
      </c>
      <c r="F20" s="37">
        <f>D20-E20</f>
        <v/>
      </c>
      <c r="G20" s="38">
        <f>IF(D20=0,0,(D20-E20)/D20)</f>
        <v/>
      </c>
    </row>
    <row r="21" ht="37.5" customHeight="1" s="27">
      <c r="A21" s="35" t="inlineStr">
        <is>
          <t>0003 · Hero Monogram Pro — Gold-leaf shimmer</t>
        </is>
      </c>
      <c r="B21" s="35" t="inlineStr">
        <is>
          <t>Metallic gold finish</t>
        </is>
      </c>
      <c r="C21" s="35" t="inlineStr">
        <is>
          <t>Animated metallic shimmer that catches the light as the page scrolls.</t>
        </is>
      </c>
      <c r="D21" s="36" t="n">
        <v>149</v>
      </c>
      <c r="E21" s="36" t="n">
        <v>0</v>
      </c>
      <c r="F21" s="37">
        <f>D21-E21</f>
        <v/>
      </c>
      <c r="G21" s="38">
        <f>IF(D21=0,0,(D21-E21)/D21)</f>
        <v/>
      </c>
    </row>
    <row r="22" ht="37.5" customHeight="1" s="27">
      <c r="A22" s="35" t="inlineStr">
        <is>
          <t>0003 · Hero Monogram Pro — Foil press metallic frame</t>
        </is>
      </c>
      <c r="B22" s="35" t="inlineStr">
        <is>
          <t>Stamped-foil look on the chosen frame</t>
        </is>
      </c>
      <c r="C22" s="35" t="inlineStr">
        <is>
          <t>Metallic stamped texture on the frame's stroke. Pre-programmed SVG filter, zero marginal cost.</t>
        </is>
      </c>
      <c r="D22" s="36" t="n">
        <v>149</v>
      </c>
      <c r="E22" s="36" t="n">
        <v>0</v>
      </c>
      <c r="F22" s="37">
        <f>D22-E22</f>
        <v/>
      </c>
      <c r="G22" s="38">
        <f>IF(D22=0,0,(D22-E22)/D22)</f>
        <v/>
      </c>
    </row>
    <row r="23" ht="37.5" customHeight="1" s="27">
      <c r="A23" s="35" t="inlineStr">
        <is>
          <t>0003 · Hero Monogram Pro — Frame draw-on animation</t>
        </is>
      </c>
      <c r="B23" s="35" t="inlineStr">
        <is>
          <t>Frame draws stroke-by-stroke</t>
        </is>
      </c>
      <c r="C23" s="35" t="inlineStr">
        <is>
          <t>On page load, the chosen frame draws itself in via SVG path stroke animation.</t>
        </is>
      </c>
      <c r="D23" s="36" t="n">
        <v>99</v>
      </c>
      <c r="E23" s="36" t="n">
        <v>0</v>
      </c>
      <c r="F23" s="37">
        <f>D23-E23</f>
        <v/>
      </c>
      <c r="G23" s="38">
        <f>IF(D23=0,0,(D23-E23)/D23)</f>
        <v/>
      </c>
    </row>
    <row r="24" ht="37.5" customHeight="1" s="27">
      <c r="A24" s="35" t="inlineStr">
        <is>
          <t>0003 · Hero Monogram Pro Bundle</t>
        </is>
      </c>
      <c r="B24" s="35" t="inlineStr">
        <is>
          <t>All 5 Pro upgrades</t>
        </is>
      </c>
      <c r="C24" s="35" t="inlineStr">
        <is>
          <t>Trace-then-morph + Glow + Gold-leaf + Foil press + Frame draw-on. Saves ₱146 vs buying individually (₱595 total).</t>
        </is>
      </c>
      <c r="D24" s="36" t="n">
        <v>449</v>
      </c>
      <c r="E24" s="36" t="n">
        <v>0</v>
      </c>
      <c r="F24" s="37">
        <f>D24-E24</f>
        <v/>
      </c>
      <c r="G24" s="38">
        <f>IF(D24=0,0,(D24-E24)/D24)</f>
        <v/>
      </c>
    </row>
    <row r="25" ht="37.5" customHeight="1" s="27">
      <c r="A25" s="31" t="inlineStr">
        <is>
          <t>0005 · Vendors Management</t>
        </is>
      </c>
      <c r="B25" s="31" t="inlineStr">
        <is>
          <t>Included in base tier (TBD)</t>
        </is>
      </c>
      <c r="C25" s="31" t="inlineStr">
        <is>
          <t>Placeholder spec captured — vendor registry, contracts, wedding-checklist linkage. Pricing TBD when iteration is built.</t>
        </is>
      </c>
      <c r="D25" s="32" t="n">
        <v>0</v>
      </c>
      <c r="E25" s="32" t="n">
        <v>0</v>
      </c>
      <c r="F25" s="33">
        <f>D25-E25</f>
        <v/>
      </c>
      <c r="G25" s="34">
        <f>IF(D25=0,0,(D25-E25)/D25)</f>
        <v/>
      </c>
    </row>
    <row r="26" ht="37.5" customHeight="1" s="27">
      <c r="A26" s="31" t="inlineStr">
        <is>
          <t>0006 · Budget &amp; Expenses</t>
        </is>
      </c>
      <c r="B26" s="31" t="inlineStr">
        <is>
          <t>Included in base tier (TBD)</t>
        </is>
      </c>
      <c r="C26" s="31" t="inlineStr">
        <is>
          <t>Placeholder spec captured — per-vendor expenses, payment tracking with screenshots, crew meals. Pricing TBD.</t>
        </is>
      </c>
      <c r="D26" s="32" t="n">
        <v>0</v>
      </c>
      <c r="E26" s="32" t="n">
        <v>0</v>
      </c>
      <c r="F26" s="33">
        <f>D26-E26</f>
        <v/>
      </c>
      <c r="G26" s="34">
        <f>IF(D26=0,0,(D26-E26)/D26)</f>
        <v/>
      </c>
    </row>
    <row r="27" ht="37.5" customHeight="1" s="27">
      <c r="A27" s="31" t="inlineStr">
        <is>
          <t>0007 · Seating Chart Editor</t>
        </is>
      </c>
      <c r="B27" s="31" t="inlineStr">
        <is>
          <t>Included in base tier (TBD)</t>
        </is>
      </c>
      <c r="C27" s="31" t="inlineStr">
        <is>
          <t>Folder ready, full design pending. Pricing TBD when iteration is built.</t>
        </is>
      </c>
      <c r="D27" s="32" t="n">
        <v>0</v>
      </c>
      <c r="E27" s="32" t="n">
        <v>0</v>
      </c>
      <c r="F27" s="33">
        <f>D27-E27</f>
        <v/>
      </c>
      <c r="G27" s="34">
        <f>IF(D27=0,0,(D27-E27)/D27)</f>
        <v/>
      </c>
    </row>
    <row r="28" ht="37.5" customHeight="1" s="27">
      <c r="A28" s="35" t="inlineStr">
        <is>
          <t>0008 · Photo Delivery to Couple's Drive</t>
        </is>
      </c>
      <c r="B28" s="35" t="inlineStr">
        <is>
          <t>Per-event one-time delivery</t>
        </is>
      </c>
      <c r="C28" s="35" t="inlineStr">
        <is>
          <t>OAuth Google Drive integration, finalized photo + clip archive auto-uploaded. Setnayan also keeps a 5-year R2 backup. Charged once per event when the couple triggers Release to Drive.</t>
        </is>
      </c>
      <c r="D28" s="36" t="n">
        <v>99</v>
      </c>
      <c r="E28" s="36" t="n">
        <v>5</v>
      </c>
      <c r="F28" s="37">
        <f>D28-E28</f>
        <v/>
      </c>
      <c r="G28" s="38">
        <f>IF(D28=0,0,(D28-E28)/D28)</f>
        <v/>
      </c>
    </row>
    <row r="29" ht="37.5" customHeight="1" s="27">
      <c r="A29" s="31" t="inlineStr">
        <is>
          <t>0009 · Mood Board (Concept → Actual)</t>
        </is>
      </c>
      <c r="B29" s="31" t="inlineStr">
        <is>
          <t>Included in base tier (TBD)</t>
        </is>
      </c>
      <c r="C29" s="31" t="inlineStr">
        <is>
          <t>Placeholder spec captured — palettes, inspirations, role styling, venue segments with stylist concept-vs-actual photo/video. Pricing TBD.</t>
        </is>
      </c>
      <c r="D29" s="32" t="n">
        <v>0</v>
      </c>
      <c r="E29" s="32" t="n">
        <v>0</v>
      </c>
      <c r="F29" s="33">
        <f>D29-E29</f>
        <v/>
      </c>
      <c r="G29" s="34">
        <f>IF(D29=0,0,(D29-E29)/D29)</f>
        <v/>
      </c>
    </row>
    <row r="30" ht="37.5" customHeight="1" s="27">
      <c r="A30" s="35" t="inlineStr">
        <is>
          <t>BASE TIER · 3 Paparazzi seats</t>
        </is>
      </c>
      <c r="B30" s="35" t="inlineStr">
        <is>
          <t>Wedding tier · 3 paparazzi seats</t>
        </is>
      </c>
      <c r="C30" s="35" t="inlineStr">
        <is>
          <t>Includes everything above (0001/0002/0003 basic) + 3 native-app paparazzi seat tokens for capture-and-tag during the event. Photo Delivery to Drive is a separate per-event charge.</t>
        </is>
      </c>
      <c r="D30" s="36" t="n">
        <v>1999</v>
      </c>
      <c r="E30" s="36" t="n">
        <v>195</v>
      </c>
      <c r="F30" s="37">
        <f>D30-E30</f>
        <v/>
      </c>
      <c r="G30" s="38">
        <f>IF(D30=0,0,(D30-E30)/D30)</f>
        <v/>
      </c>
    </row>
    <row r="31" ht="37.5" customHeight="1" s="27">
      <c r="A31" s="35" t="inlineStr">
        <is>
          <t>BASE TIER · 5 Paparazzi seats</t>
        </is>
      </c>
      <c r="B31" s="35" t="inlineStr">
        <is>
          <t>Wedding tier · 5 paparazzi seats</t>
        </is>
      </c>
      <c r="C31" s="35" t="inlineStr">
        <is>
          <t>Same as above with 5 paparazzi seat tokens. More photographers = better coverage at larger events.</t>
        </is>
      </c>
      <c r="D31" s="36" t="n">
        <v>2999</v>
      </c>
      <c r="E31" s="36" t="n">
        <v>265</v>
      </c>
      <c r="F31" s="37">
        <f>D31-E31</f>
        <v/>
      </c>
      <c r="G31" s="38">
        <f>IF(D31=0,0,(D31-E31)/D31)</f>
        <v/>
      </c>
    </row>
    <row r="32" ht="37.5" customHeight="1" s="27">
      <c r="A32" s="35" t="inlineStr">
        <is>
          <t>ADD-ON · Personal Reel Template</t>
        </is>
      </c>
      <c r="B32" s="35" t="inlineStr">
        <is>
          <t>Per template unlock for guests</t>
        </is>
      </c>
      <c r="C32" s="35" t="inlineStr">
        <is>
          <t>Couple unlocks a template; guests can use it to build their 30s souvenir reel. Cost = ~₱2 per render × ~30 reels = ~₱60.</t>
        </is>
      </c>
      <c r="D32" s="36" t="n">
        <v>599</v>
      </c>
      <c r="E32" s="36" t="n">
        <v>60</v>
      </c>
      <c r="F32" s="37">
        <f>D32-E32</f>
        <v/>
      </c>
      <c r="G32" s="38">
        <f>IF(D32=0,0,(D32-E32)/D32)</f>
        <v/>
      </c>
    </row>
    <row r="33"/>
    <row r="34"/>
    <row r="35" ht="15" customHeight="1" s="27">
      <c r="A35" s="39" t="inlineStr">
        <is>
          <t>Notes &amp; assumptions</t>
        </is>
      </c>
    </row>
    <row r="36" ht="15" customHeight="1" s="27">
      <c r="A36" s="40" t="inlineStr">
        <is>
          <t>• All prices in PHP. Costs are estimated marginal cost per unit at small-to-mid scale (≤300 weddings/year).</t>
        </is>
      </c>
    </row>
    <row r="37" ht="15" customHeight="1" s="27">
      <c r="A37" s="40" t="inlineStr">
        <is>
          <t>• Couple price values are inputs (BLUE) — change them to recalculate margin. Cost values are also inputs (BLUE).</t>
        </is>
      </c>
    </row>
    <row r="38" ht="15" customHeight="1" s="27">
      <c r="A38" s="40" t="inlineStr">
        <is>
          <t>• Margin and Margin % cells are formulas (BLACK) — automatically recalculate when inputs change.</t>
        </is>
      </c>
    </row>
    <row r="39" ht="15" customHeight="1" s="27">
      <c r="A39" s="40" t="inlineStr">
        <is>
          <t>• 'Included in base tier' rows show ₱0 in price column — these features ship with any Paparazzi tier purchase.</t>
        </is>
      </c>
    </row>
    <row r="40" ht="15" customHeight="1" s="27">
      <c r="A40" s="40" t="inlineStr">
        <is>
          <t>• TBD pricing rows are placeholders for iterations whose monetization isn't locked yet.</t>
        </is>
      </c>
    </row>
    <row r="41" ht="15" customHeight="1" s="27">
      <c r="A41" s="40" t="inlineStr">
        <is>
          <t>• LED Background costs assume FFmpeg + Lottie + free-tier Cloudflare Containers stack. Higher volume may push compute costs up.</t>
        </is>
      </c>
    </row>
    <row r="42" ht="15" customHeight="1" s="27">
      <c r="A42" s="40" t="inlineStr">
        <is>
          <t>• Paparazzi tier costs (₱195 / ₱265) are sourced from existing CLAUDE.md decision log.</t>
        </is>
      </c>
    </row>
  </sheetData>
  <mergeCells count="9">
    <mergeCell ref="A36:G36"/>
    <mergeCell ref="A1:G1"/>
    <mergeCell ref="A40:G40"/>
    <mergeCell ref="A39:G39"/>
    <mergeCell ref="A38:G38"/>
    <mergeCell ref="A2:G2"/>
    <mergeCell ref="A41:G41"/>
    <mergeCell ref="A42:G42"/>
    <mergeCell ref="A37:G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6" min="1" max="1"/>
    <col width="50" customWidth="1" style="26" min="2" max="2"/>
    <col width="22" customWidth="1" style="26" min="3" max="3"/>
    <col width="60" customWidth="1" style="26" min="4" max="4"/>
  </cols>
  <sheetData>
    <row r="1" ht="19.7" customHeight="1" s="27">
      <c r="A1" s="41" t="inlineStr">
        <is>
          <t>Per-SKU cost breakdown — what we spend per unit delivered</t>
        </is>
      </c>
    </row>
    <row r="2" ht="15" customHeight="1" s="27">
      <c r="A2" s="29" t="inlineStr">
        <is>
          <t>All amounts in PHP. BLUE cells are inputs you can change.</t>
        </is>
      </c>
    </row>
    <row r="3"/>
    <row r="4" ht="27.75" customHeight="1" s="27">
      <c r="A4" s="30" t="inlineStr">
        <is>
          <t>SKU</t>
        </is>
      </c>
      <c r="B4" s="30" t="inlineStr">
        <is>
          <t>Cost component</t>
        </is>
      </c>
      <c r="C4" s="30" t="inlineStr">
        <is>
          <t>Amount per unit (₱)</t>
        </is>
      </c>
      <c r="D4" s="30" t="inlineStr">
        <is>
          <t>Notes</t>
        </is>
      </c>
      <c r="E4" s="30" t="n"/>
    </row>
    <row r="5" ht="21.75" customHeight="1" s="27">
      <c r="A5" s="42" t="inlineStr">
        <is>
          <t>3 Paparazzi tier · ₱1,499</t>
        </is>
      </c>
      <c r="B5" s="43" t="n"/>
      <c r="C5" s="43" t="n"/>
      <c r="D5" s="44" t="n"/>
    </row>
    <row r="6" ht="21.75" customHeight="1" s="27">
      <c r="A6" s="35" t="n"/>
      <c r="B6" s="35" t="inlineStr">
        <is>
          <t>R2 storage (5-year retention, ~5 GB photos)</t>
        </is>
      </c>
      <c r="C6" s="36" t="n">
        <v>80</v>
      </c>
      <c r="D6" s="35" t="inlineStr">
        <is>
          <t>Cloudflare R2: $0.015/GB/month × 60 months × 5 GB ≈ $4.50 ≈ ₱260 over lifetime; amortized per event ≈ ₱80</t>
        </is>
      </c>
    </row>
    <row r="7" ht="21.75" customHeight="1" s="27">
      <c r="A7" s="35" t="n"/>
      <c r="B7" s="35" t="inlineStr">
        <is>
          <t>Backend hosting &amp; DB amortized per event</t>
        </is>
      </c>
      <c r="C7" s="36" t="n">
        <v>60</v>
      </c>
      <c r="D7" s="35" t="inlineStr">
        <is>
          <t>Cloudflare Workers + D1/Postgres + Queue, amortized over couples per month</t>
        </is>
      </c>
    </row>
    <row r="8" ht="21.75" customHeight="1" s="27">
      <c r="A8" s="35" t="n"/>
      <c r="B8" s="35" t="inlineStr">
        <is>
          <t>Native app token + ICS / OG render compute</t>
        </is>
      </c>
      <c r="C8" s="36" t="n">
        <v>25</v>
      </c>
      <c r="D8" s="35" t="inlineStr">
        <is>
          <t>Per-event QR generation + invitation OG image render</t>
        </is>
      </c>
    </row>
    <row r="9" ht="21.75" customHeight="1" s="27">
      <c r="A9" s="35" t="n"/>
      <c r="B9" s="35" t="inlineStr">
        <is>
          <t>Email (Resend) for invitations + reminders</t>
        </is>
      </c>
      <c r="C9" s="36" t="n">
        <v>15</v>
      </c>
      <c r="D9" s="35" t="inlineStr">
        <is>
          <t>~50-100 emails per event at ~₱0.20 each</t>
        </is>
      </c>
    </row>
    <row r="10" ht="21.75" customHeight="1" s="27">
      <c r="A10" s="35" t="n"/>
      <c r="B10" s="35" t="inlineStr">
        <is>
          <t>Misc (analytics, error monitoring, support)</t>
        </is>
      </c>
      <c r="C10" s="36" t="n">
        <v>15</v>
      </c>
      <c r="D10" s="35" t="inlineStr">
        <is>
          <t>Allocated overhead per event</t>
        </is>
      </c>
    </row>
    <row r="11" ht="21.75" customHeight="1" s="27">
      <c r="A11" s="45" t="inlineStr">
        <is>
          <t>3 Paparazzi · TOTAL COST</t>
        </is>
      </c>
      <c r="B11" s="45" t="n"/>
      <c r="C11" s="46" t="n">
        <v>195</v>
      </c>
      <c r="D11" s="45" t="inlineStr">
        <is>
          <t>₱195 cost on ₱1,999 price = 90.2% margin (₱1,804 per event)</t>
        </is>
      </c>
    </row>
    <row r="12" ht="21.75" customHeight="1" s="27">
      <c r="A12" s="42" t="inlineStr">
        <is>
          <t>5 Paparazzi tier · ₱2,499</t>
        </is>
      </c>
      <c r="B12" s="43" t="n"/>
      <c r="C12" s="43" t="n"/>
      <c r="D12" s="44" t="n"/>
    </row>
    <row r="13" ht="21.75" customHeight="1" s="27">
      <c r="A13" s="35" t="n"/>
      <c r="B13" s="35" t="inlineStr">
        <is>
          <t>R2 storage (5-year retention, ~8 GB photos)</t>
        </is>
      </c>
      <c r="C13" s="36" t="n">
        <v>130</v>
      </c>
      <c r="D13" s="35" t="inlineStr">
        <is>
          <t>More photographers = more photos = more storage; ₱260/event over lifetime ÷ amortized</t>
        </is>
      </c>
    </row>
    <row r="14" ht="21.75" customHeight="1" s="27">
      <c r="A14" s="35" t="n"/>
      <c r="B14" s="35" t="inlineStr">
        <is>
          <t>Backend hosting &amp; DB amortized per event</t>
        </is>
      </c>
      <c r="C14" s="36" t="n">
        <v>70</v>
      </c>
      <c r="D14" s="35" t="inlineStr">
        <is>
          <t>Slightly higher footprint due to higher photo volume</t>
        </is>
      </c>
    </row>
    <row r="15" ht="21.75" customHeight="1" s="27">
      <c r="A15" s="35" t="n"/>
      <c r="B15" s="35" t="inlineStr">
        <is>
          <t>Native app tokens (5) + ICS / OG render compute</t>
        </is>
      </c>
      <c r="C15" s="36" t="n">
        <v>30</v>
      </c>
      <c r="D15" s="35" t="inlineStr">
        <is>
          <t>5 paparazzi tokens vs 3</t>
        </is>
      </c>
    </row>
    <row r="16" ht="21.75" customHeight="1" s="27">
      <c r="A16" s="35" t="n"/>
      <c r="B16" s="35" t="inlineStr">
        <is>
          <t>Email (Resend) for invitations + reminders</t>
        </is>
      </c>
      <c r="C16" s="36" t="n">
        <v>15</v>
      </c>
      <c r="D16" s="35" t="inlineStr">
        <is>
          <t>Similar count regardless of paparazzi tier</t>
        </is>
      </c>
    </row>
    <row r="17" ht="21.75" customHeight="1" s="27">
      <c r="A17" s="35" t="n"/>
      <c r="B17" s="35" t="inlineStr">
        <is>
          <t>Misc (analytics, error monitoring, support)</t>
        </is>
      </c>
      <c r="C17" s="36" t="n">
        <v>20</v>
      </c>
      <c r="D17" s="35" t="inlineStr">
        <is>
          <t>Slightly more support inquiries on larger events</t>
        </is>
      </c>
    </row>
    <row r="18" ht="21.75" customHeight="1" s="27">
      <c r="A18" s="45" t="inlineStr">
        <is>
          <t>5 Paparazzi · TOTAL COST</t>
        </is>
      </c>
      <c r="B18" s="45" t="n"/>
      <c r="C18" s="46" t="n">
        <v>265</v>
      </c>
      <c r="D18" s="45" t="inlineStr">
        <is>
          <t>₱265 cost on ₱2,999 price = 91.2% margin (₱2,734 per event)</t>
        </is>
      </c>
    </row>
    <row r="19" ht="21.75" customHeight="1" s="27">
      <c r="A19" s="42" t="inlineStr">
        <is>
          <t>Personal Reel Template · ₱199</t>
        </is>
      </c>
      <c r="B19" s="43" t="n"/>
      <c r="C19" s="43" t="n"/>
      <c r="D19" s="44" t="n"/>
    </row>
    <row r="20" ht="21.75" customHeight="1" s="27">
      <c r="A20" s="35" t="n"/>
      <c r="B20" s="35" t="inlineStr">
        <is>
          <t>FFmpeg compute per reel render</t>
        </is>
      </c>
      <c r="C20" s="36" t="n">
        <v>2</v>
      </c>
      <c r="D20" s="35" t="inlineStr">
        <is>
          <t>Cloudflare Container ~₱2 per 30s render</t>
        </is>
      </c>
    </row>
    <row r="21" ht="21.75" customHeight="1" s="27">
      <c r="A21" s="35" t="n"/>
      <c r="B21" s="35" t="inlineStr">
        <is>
          <t>Per-couple usage (avg ~30 reels per event)</t>
        </is>
      </c>
      <c r="C21" s="36" t="n">
        <v>60</v>
      </c>
      <c r="D21" s="35" t="inlineStr">
        <is>
          <t>₱2 × ~30 guest renders typically</t>
        </is>
      </c>
    </row>
    <row r="22" ht="21.75" customHeight="1" s="27">
      <c r="A22" s="45" t="inlineStr">
        <is>
          <t>Reel Template · TOTAL COST</t>
        </is>
      </c>
      <c r="B22" s="45" t="n"/>
      <c r="C22" s="46" t="n">
        <v>60</v>
      </c>
      <c r="D22" s="45" t="inlineStr">
        <is>
          <t>₱60 cost on ₱599 price = 90.0% margin (₱539 per template unlock)</t>
        </is>
      </c>
    </row>
    <row r="23" ht="21.75" customHeight="1" s="27">
      <c r="A23" s="42" t="inlineStr">
        <is>
          <t>Pro Hero Monogram animation · ₱99</t>
        </is>
      </c>
      <c r="B23" s="43" t="n"/>
      <c r="C23" s="43" t="n"/>
      <c r="D23" s="44" t="n"/>
    </row>
    <row r="24" ht="21.75" customHeight="1" s="27">
      <c r="A24" s="35" t="n"/>
      <c r="B24" s="35" t="inlineStr">
        <is>
          <t>CSS/SVG animation (pre-programmed, no per-event cost)</t>
        </is>
      </c>
      <c r="C24" s="36" t="n">
        <v>0</v>
      </c>
      <c r="D24" s="35" t="inlineStr">
        <is>
          <t>Animation is client-side; zero marginal cost to deliver</t>
        </is>
      </c>
    </row>
    <row r="25" ht="21.75" customHeight="1" s="27">
      <c r="A25" s="35" t="n"/>
      <c r="B25" s="35" t="inlineStr">
        <is>
          <t>Storage of animated SVG</t>
        </is>
      </c>
      <c r="C25" s="36" t="n">
        <v>0</v>
      </c>
      <c r="D25" s="35" t="inlineStr">
        <is>
          <t>Negligible — same payload as static SVG</t>
        </is>
      </c>
    </row>
    <row r="26" ht="21.75" customHeight="1" s="27">
      <c r="A26" s="45" t="inlineStr">
        <is>
          <t>Pro Monogram · TOTAL COST</t>
        </is>
      </c>
      <c r="B26" s="45" t="n"/>
      <c r="C26" s="46" t="n">
        <v>0</v>
      </c>
      <c r="D26" s="45" t="inlineStr">
        <is>
          <t>100% margin — pure pre-programmed enhancement</t>
        </is>
      </c>
    </row>
    <row r="27" ht="21.75" customHeight="1" s="27">
      <c r="A27" s="42" t="inlineStr">
        <is>
          <t>Pro Venue Waze · ₱99</t>
        </is>
      </c>
      <c r="B27" s="43" t="n"/>
      <c r="C27" s="43" t="n"/>
      <c r="D27" s="44" t="n"/>
    </row>
    <row r="28" ht="21.75" customHeight="1" s="27">
      <c r="A28" s="35" t="n"/>
      <c r="B28" s="35" t="inlineStr">
        <is>
          <t>URL-formatting helper (free)</t>
        </is>
      </c>
      <c r="C28" s="36" t="n">
        <v>0</v>
      </c>
      <c r="D28" s="35" t="inlineStr">
        <is>
          <t>Waze + Google Maps deep-links are URL-only; no API cost</t>
        </is>
      </c>
    </row>
    <row r="29" ht="21.75" customHeight="1" s="27">
      <c r="A29" s="45" t="inlineStr">
        <is>
          <t>Pro Venue Waze · TOTAL COST</t>
        </is>
      </c>
      <c r="B29" s="45" t="n"/>
      <c r="C29" s="46" t="n">
        <v>0</v>
      </c>
      <c r="D29" s="45" t="inlineStr">
        <is>
          <t>100% margin — pure pre-programmed enhancement</t>
        </is>
      </c>
    </row>
    <row r="30" ht="21.75" customHeight="1" s="27">
      <c r="A30" s="42" t="inlineStr">
        <is>
          <t>Pro Bundle · ₱149</t>
        </is>
      </c>
      <c r="B30" s="43" t="n"/>
      <c r="C30" s="43" t="n"/>
      <c r="D30" s="44" t="n"/>
    </row>
    <row r="31" ht="21.75" customHeight="1" s="27">
      <c r="A31" s="35" t="n"/>
      <c r="B31" s="35" t="inlineStr">
        <is>
          <t>Same pre-programmed enhancements as Pro upgrades</t>
        </is>
      </c>
      <c r="C31" s="36" t="n">
        <v>0</v>
      </c>
      <c r="D31" s="35" t="inlineStr">
        <is>
          <t>Both Hero animation + Venue Waze are pre-programmed</t>
        </is>
      </c>
    </row>
    <row r="32" ht="21.75" customHeight="1" s="27">
      <c r="A32" s="45" t="inlineStr">
        <is>
          <t>Pro Bundle · TOTAL COST</t>
        </is>
      </c>
      <c r="B32" s="45" t="n"/>
      <c r="C32" s="46" t="n">
        <v>0</v>
      </c>
      <c r="D32" s="45" t="inlineStr">
        <is>
          <t>100% margin</t>
        </is>
      </c>
    </row>
    <row r="33" ht="21.75" customHeight="1" s="27">
      <c r="A33" s="42" t="inlineStr">
        <is>
          <t>LED Background · 1080p · ₱99</t>
        </is>
      </c>
      <c r="B33" s="43" t="n"/>
      <c r="C33" s="43" t="n"/>
      <c r="D33" s="44" t="n"/>
    </row>
    <row r="34" ht="21.75" customHeight="1" s="27">
      <c r="A34" s="35" t="n"/>
      <c r="B34" s="35" t="inlineStr">
        <is>
          <t>Cloudflare Container compute (~3 min)</t>
        </is>
      </c>
      <c r="C34" s="36" t="n">
        <v>8</v>
      </c>
      <c r="D34" s="35" t="inlineStr">
        <is>
          <t>$0.0001/sec × 180s ≈ ₱1; with 5x markup buffer ₱8</t>
        </is>
      </c>
    </row>
    <row r="35" ht="21.75" customHeight="1" s="27">
      <c r="A35" s="35" t="n"/>
      <c r="B35" s="35" t="inlineStr">
        <is>
          <t>FFmpeg encoding overhead</t>
        </is>
      </c>
      <c r="C35" s="36" t="n">
        <v>5</v>
      </c>
      <c r="D35" s="35" t="inlineStr">
        <is>
          <t>Encoding adds CPU cost beyond render</t>
        </is>
      </c>
    </row>
    <row r="36" ht="21.75" customHeight="1" s="27">
      <c r="A36" s="35" t="n"/>
      <c r="B36" s="35" t="inlineStr">
        <is>
          <t>R2 storage of output (~30 MB) for 1 year</t>
        </is>
      </c>
      <c r="C36" s="36" t="n">
        <v>1</v>
      </c>
      <c r="D36" s="35" t="inlineStr">
        <is>
          <t>~₱0.50/MB/year × 30 MB ÷ amortized</t>
        </is>
      </c>
    </row>
    <row r="37" ht="21.75" customHeight="1" s="27">
      <c r="A37" s="35" t="n"/>
      <c r="B37" s="35" t="inlineStr">
        <is>
          <t>Stock overlay license amortized per render</t>
        </is>
      </c>
      <c r="C37" s="36" t="n">
        <v>5</v>
      </c>
      <c r="D37" s="35" t="inlineStr">
        <is>
          <t>₱5,000 one-time stock pack ÷ ~1,000 renders lifetime</t>
        </is>
      </c>
    </row>
    <row r="38" ht="21.75" customHeight="1" s="27">
      <c r="A38" s="35" t="n"/>
      <c r="B38" s="35" t="inlineStr">
        <is>
          <t>Lottie template license amortized</t>
        </is>
      </c>
      <c r="C38" s="36" t="n">
        <v>6</v>
      </c>
      <c r="D38" s="35" t="inlineStr">
        <is>
          <t>Avg ₱5,000 per template ÷ ~1,000 lifetime renders</t>
        </is>
      </c>
    </row>
    <row r="39" ht="21.75" customHeight="1" s="27">
      <c r="A39" s="45" t="inlineStr">
        <is>
          <t>LED 1080p · TOTAL COST</t>
        </is>
      </c>
      <c r="B39" s="45" t="n"/>
      <c r="C39" s="46" t="n">
        <v>25</v>
      </c>
      <c r="D39" s="45" t="inlineStr">
        <is>
          <t>₱25 cost on ₱249 price = 90.0% margin (₱224 per render)</t>
        </is>
      </c>
    </row>
    <row r="40" ht="21.75" customHeight="1" s="27">
      <c r="A40" s="42" t="inlineStr">
        <is>
          <t>LED Background · 4K · ₱149</t>
        </is>
      </c>
      <c r="B40" s="43" t="n"/>
      <c r="C40" s="43" t="n"/>
      <c r="D40" s="44" t="n"/>
    </row>
    <row r="41" ht="21.75" customHeight="1" s="27">
      <c r="A41" s="35" t="n"/>
      <c r="B41" s="35" t="inlineStr">
        <is>
          <t>Cloudflare Container compute (~5 min)</t>
        </is>
      </c>
      <c r="C41" s="36" t="n">
        <v>13</v>
      </c>
      <c r="D41" s="35" t="inlineStr">
        <is>
          <t>Higher resolution = longer render</t>
        </is>
      </c>
    </row>
    <row r="42" ht="21.75" customHeight="1" s="27">
      <c r="A42" s="35" t="n"/>
      <c r="B42" s="35" t="inlineStr">
        <is>
          <t>FFmpeg encoding overhead</t>
        </is>
      </c>
      <c r="C42" s="36" t="n">
        <v>8</v>
      </c>
      <c r="D42" s="35" t="n"/>
    </row>
    <row r="43" ht="21.75" customHeight="1" s="27">
      <c r="A43" s="35" t="n"/>
      <c r="B43" s="35" t="inlineStr">
        <is>
          <t>R2 storage of output (~70 MB)</t>
        </is>
      </c>
      <c r="C43" s="36" t="n">
        <v>3</v>
      </c>
      <c r="D43" s="35" t="n"/>
    </row>
    <row r="44" ht="21.75" customHeight="1" s="27">
      <c r="A44" s="35" t="n"/>
      <c r="B44" s="35" t="inlineStr">
        <is>
          <t>Stock overlay license amortized</t>
        </is>
      </c>
      <c r="C44" s="36" t="n">
        <v>6</v>
      </c>
      <c r="D44" s="35" t="n"/>
    </row>
    <row r="45" ht="21.75" customHeight="1" s="27">
      <c r="A45" s="35" t="n"/>
      <c r="B45" s="35" t="inlineStr">
        <is>
          <t>Lottie template license amortized</t>
        </is>
      </c>
      <c r="C45" s="36" t="n">
        <v>10</v>
      </c>
      <c r="D45" s="35" t="inlineStr">
        <is>
          <t>Higher resolution requires higher-quality Lottie source</t>
        </is>
      </c>
    </row>
    <row r="46" ht="21.75" customHeight="1" s="27">
      <c r="A46" s="45" t="inlineStr">
        <is>
          <t>LED 4K · TOTAL COST</t>
        </is>
      </c>
      <c r="B46" s="45" t="n"/>
      <c r="C46" s="46" t="n">
        <v>40</v>
      </c>
      <c r="D46" s="45" t="inlineStr">
        <is>
          <t>₱40 cost on ₱399 price = 90.0% margin (₱359 per render)</t>
        </is>
      </c>
    </row>
    <row r="47" ht="21.75" customHeight="1" s="27">
      <c r="A47" s="42" t="inlineStr">
        <is>
          <t>LED Background · 8K · ₱199</t>
        </is>
      </c>
      <c r="B47" s="43" t="n"/>
      <c r="C47" s="43" t="n"/>
      <c r="D47" s="44" t="n"/>
    </row>
    <row r="48" ht="21.75" customHeight="1" s="27">
      <c r="A48" s="35" t="n"/>
      <c r="B48" s="35" t="inlineStr">
        <is>
          <t>Cloudflare Container compute (~8 min)</t>
        </is>
      </c>
      <c r="C48" s="36" t="n">
        <v>22</v>
      </c>
      <c r="D48" s="35" t="inlineStr">
        <is>
          <t>8K rendering is the heaviest</t>
        </is>
      </c>
    </row>
    <row r="49" ht="21.75" customHeight="1" s="27">
      <c r="A49" s="35" t="n"/>
      <c r="B49" s="35" t="inlineStr">
        <is>
          <t>FFmpeg encoding overhead</t>
        </is>
      </c>
      <c r="C49" s="36" t="n">
        <v>15</v>
      </c>
      <c r="D49" s="35" t="n"/>
    </row>
    <row r="50" ht="21.75" customHeight="1" s="27">
      <c r="A50" s="35" t="n"/>
      <c r="B50" s="35" t="inlineStr">
        <is>
          <t>R2 storage of output (~120 MB)</t>
        </is>
      </c>
      <c r="C50" s="36" t="n">
        <v>5</v>
      </c>
      <c r="D50" s="35" t="n"/>
    </row>
    <row r="51" ht="21.75" customHeight="1" s="27">
      <c r="A51" s="35" t="n"/>
      <c r="B51" s="35" t="inlineStr">
        <is>
          <t>Stock overlay license amortized</t>
        </is>
      </c>
      <c r="C51" s="36" t="n">
        <v>8</v>
      </c>
      <c r="D51" s="35" t="n"/>
    </row>
    <row r="52" ht="21.75" customHeight="1" s="27">
      <c r="A52" s="35" t="n"/>
      <c r="B52" s="35" t="inlineStr">
        <is>
          <t>Lottie template license amortized</t>
        </is>
      </c>
      <c r="C52" s="36" t="n">
        <v>10</v>
      </c>
      <c r="D52" s="35" t="n"/>
    </row>
    <row r="53" ht="21.75" customHeight="1" s="27">
      <c r="A53" s="45" t="inlineStr">
        <is>
          <t>LED 8K · TOTAL COST</t>
        </is>
      </c>
      <c r="B53" s="45" t="n"/>
      <c r="C53" s="46" t="n">
        <v>60</v>
      </c>
      <c r="D53" s="45" t="inlineStr">
        <is>
          <t>₱60 cost on ₱599 price = 90.0% margin (₱539 per render)</t>
        </is>
      </c>
    </row>
  </sheetData>
  <mergeCells count="11">
    <mergeCell ref="A5:D5"/>
    <mergeCell ref="A40:D40"/>
    <mergeCell ref="A23:D23"/>
    <mergeCell ref="A27:D27"/>
    <mergeCell ref="A2:E2"/>
    <mergeCell ref="A12:D12"/>
    <mergeCell ref="A30:D30"/>
    <mergeCell ref="A1:E1"/>
    <mergeCell ref="A19:D19"/>
    <mergeCell ref="A33:D33"/>
    <mergeCell ref="A47:D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26" min="1" max="1"/>
    <col width="56" customWidth="1" style="26" min="2" max="2"/>
    <col width="22" customWidth="1" style="26" min="3" max="5"/>
  </cols>
  <sheetData>
    <row r="1" ht="19.7" customHeight="1" s="27">
      <c r="A1" s="41" t="inlineStr">
        <is>
          <t>One-time investments to launch — amortizable over expected unit volume</t>
        </is>
      </c>
    </row>
    <row r="2" ht="15" customHeight="1" s="27">
      <c r="A2" s="29" t="inlineStr">
        <is>
          <t>These costs are paid once and amortized into per-unit cost on the 'Cost Breakdown' sheet.</t>
        </is>
      </c>
    </row>
    <row r="3"/>
    <row r="4" ht="30" customHeight="1" s="27">
      <c r="A4" s="30" t="inlineStr">
        <is>
          <t>Iteration</t>
        </is>
      </c>
      <c r="B4" s="30" t="inlineStr">
        <is>
          <t>What we buy</t>
        </is>
      </c>
      <c r="C4" s="30" t="inlineStr">
        <is>
          <t>One-time cost (₱)</t>
        </is>
      </c>
      <c r="D4" s="30" t="inlineStr">
        <is>
          <t>Expected lifetime units</t>
        </is>
      </c>
      <c r="E4" s="30" t="inlineStr">
        <is>
          <t>Per-unit amortized (₱)</t>
        </is>
      </c>
    </row>
    <row r="5" ht="15" customHeight="1" s="27">
      <c r="A5" s="35" t="inlineStr">
        <is>
          <t>0001 · Guest List</t>
        </is>
      </c>
      <c r="B5" s="35" t="inlineStr">
        <is>
          <t>Filipino role taxonomy + UI design refinement</t>
        </is>
      </c>
      <c r="C5" s="37" t="n">
        <v>0</v>
      </c>
      <c r="D5" s="47" t="n">
        <v>1000</v>
      </c>
      <c r="E5" s="48" t="n">
        <v>0</v>
      </c>
    </row>
    <row r="6" ht="15" customHeight="1" s="27">
      <c r="A6" s="35" t="inlineStr">
        <is>
          <t>0002 · QR System</t>
        </is>
      </c>
      <c r="B6" s="35" t="inlineStr">
        <is>
          <t>qrcode npm package (free) + R2 storage setup</t>
        </is>
      </c>
      <c r="C6" s="37" t="n">
        <v>0</v>
      </c>
      <c r="D6" s="47" t="n">
        <v>1000</v>
      </c>
      <c r="E6" s="48" t="n">
        <v>0</v>
      </c>
    </row>
    <row r="7" ht="15" customHeight="1" s="27">
      <c r="A7" s="35" t="inlineStr">
        <is>
          <t>0002 · QR System</t>
        </is>
      </c>
      <c r="B7" s="35" t="inlineStr">
        <is>
          <t>Custom QR finder pattern design</t>
        </is>
      </c>
      <c r="C7" s="36" t="n">
        <v>5000</v>
      </c>
      <c r="D7" s="49" t="n">
        <v>1000</v>
      </c>
      <c r="E7" s="48">
        <f>C7/D7</f>
        <v/>
      </c>
    </row>
    <row r="8" ht="15" customHeight="1" s="27">
      <c r="A8" s="35" t="inlineStr">
        <is>
          <t>0003 · Widgets Editor</t>
        </is>
      </c>
      <c r="B8" s="35" t="inlineStr">
        <is>
          <t>10 widget designs (engineering)</t>
        </is>
      </c>
      <c r="C8" s="37" t="n">
        <v>0</v>
      </c>
      <c r="D8" s="47" t="n">
        <v>1000</v>
      </c>
      <c r="E8" s="48" t="n">
        <v>0</v>
      </c>
    </row>
    <row r="9" ht="15" customHeight="1" s="27">
      <c r="A9" s="35" t="inlineStr">
        <is>
          <t>0003 · Widgets Editor</t>
        </is>
      </c>
      <c r="B9" s="35" t="inlineStr">
        <is>
          <t>Pro animation pre-programming (Hero + Venue)</t>
        </is>
      </c>
      <c r="C9" s="37" t="n">
        <v>0</v>
      </c>
      <c r="D9" s="47" t="n">
        <v>1000</v>
      </c>
      <c r="E9" s="48" t="n">
        <v>0</v>
      </c>
    </row>
    <row r="10" ht="15" customHeight="1" s="27">
      <c r="A10" s="35" t="inlineStr">
        <is>
          <t>0004 · LED Background Maker</t>
        </is>
      </c>
      <c r="B10" s="35" t="inlineStr">
        <is>
          <t>Stock overlay pack (Motion Array / Envato)</t>
        </is>
      </c>
      <c r="C10" s="36" t="n">
        <v>5000</v>
      </c>
      <c r="D10" s="49" t="n">
        <v>1000</v>
      </c>
      <c r="E10" s="48">
        <f>C10/D10</f>
        <v/>
      </c>
    </row>
    <row r="11" ht="15" customHeight="1" s="27">
      <c r="A11" s="35" t="inlineStr">
        <is>
          <t>0004 · LED Background Maker</t>
        </is>
      </c>
      <c r="B11" s="35" t="inlineStr">
        <is>
          <t>Lottie template licenses (5 templates × ₱500-2000)</t>
        </is>
      </c>
      <c r="C11" s="36" t="n">
        <v>7500</v>
      </c>
      <c r="D11" s="49" t="n">
        <v>1000</v>
      </c>
      <c r="E11" s="48">
        <f>C11/D11</f>
        <v/>
      </c>
    </row>
    <row r="12" ht="15" customHeight="1" s="27">
      <c r="A12" s="35" t="inlineStr">
        <is>
          <t>0004 · LED Background Maker</t>
        </is>
      </c>
      <c r="B12" s="35" t="inlineStr">
        <is>
          <t>Custom Lottie templates (5 templates × ₱25k motion designer)</t>
        </is>
      </c>
      <c r="C12" s="36" t="n">
        <v>125000</v>
      </c>
      <c r="D12" s="49" t="n">
        <v>1000</v>
      </c>
      <c r="E12" s="48">
        <f>C12/D12</f>
        <v/>
      </c>
    </row>
    <row r="13" ht="15" customHeight="1" s="27">
      <c r="A13" s="35" t="inlineStr">
        <is>
          <t>0004 · LED Background Maker</t>
        </is>
      </c>
      <c r="B13" s="35" t="inlineStr">
        <is>
          <t>Motion designer consultation (1-hour)</t>
        </is>
      </c>
      <c r="C13" s="36" t="n">
        <v>5000</v>
      </c>
      <c r="D13" s="49" t="n">
        <v>1000</v>
      </c>
      <c r="E13" s="48">
        <f>C13/D13</f>
        <v/>
      </c>
    </row>
    <row r="14" ht="15" customHeight="1" s="27">
      <c r="A14" s="35" t="inlineStr">
        <is>
          <t>0004 · LED Background Maker</t>
        </is>
      </c>
      <c r="B14" s="35" t="inlineStr">
        <is>
          <t>FFmpeg + Lottie pipeline engineering setup</t>
        </is>
      </c>
      <c r="C14" s="37" t="n">
        <v>0</v>
      </c>
      <c r="D14" s="47" t="n">
        <v>1000</v>
      </c>
      <c r="E14" s="48" t="n">
        <v>0</v>
      </c>
    </row>
    <row r="15" ht="15" customHeight="1" s="27">
      <c r="A15" s="35" t="inlineStr">
        <is>
          <t>0008 · Photo Delivery</t>
        </is>
      </c>
      <c r="B15" s="35" t="inlineStr">
        <is>
          <t>Google OAuth verification (Setnayan app review with Google)</t>
        </is>
      </c>
      <c r="C15" s="37" t="n">
        <v>0</v>
      </c>
      <c r="D15" s="47" t="n">
        <v>5000</v>
      </c>
      <c r="E15" s="48" t="n">
        <v>0</v>
      </c>
    </row>
    <row r="16" ht="15" customHeight="1" s="27">
      <c r="A16" s="35" t="inlineStr">
        <is>
          <t>Music catalogue · per CLAUDE.md</t>
        </is>
      </c>
      <c r="B16" s="35" t="inlineStr">
        <is>
          <t>Suno Premier annual subscription (~₱150K saved)</t>
        </is>
      </c>
      <c r="C16" s="36" t="n">
        <v>36000</v>
      </c>
      <c r="D16" s="49" t="n">
        <v>5000</v>
      </c>
      <c r="E16" s="48">
        <f>C16/D16</f>
        <v/>
      </c>
    </row>
    <row r="17" ht="15" customHeight="1" s="27">
      <c r="A17" s="35" t="inlineStr">
        <is>
          <t>Template library (Paparazzi reels)</t>
        </is>
      </c>
      <c r="B17" s="35" t="inlineStr">
        <is>
          <t>400 templates pre-generated × generation cost</t>
        </is>
      </c>
      <c r="C17" s="36" t="n">
        <v>50000</v>
      </c>
      <c r="D17" s="49" t="n">
        <v>30000</v>
      </c>
      <c r="E17" s="48">
        <f>C17/D17</f>
        <v/>
      </c>
    </row>
    <row r="18"/>
    <row r="19" ht="15" customHeight="1" s="27">
      <c r="A19" s="50" t="inlineStr">
        <is>
          <t>TOTAL one-time investment</t>
        </is>
      </c>
      <c r="C19" s="51">
        <f>SUM(C5:C17)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26" min="1" max="1"/>
    <col width="22" customWidth="1" style="26" min="2" max="6"/>
  </cols>
  <sheetData>
    <row r="1" ht="19.7" customHeight="1" s="27">
      <c r="A1" s="41" t="inlineStr">
        <is>
          <t>Margin per SKU — quick scan of profitability</t>
        </is>
      </c>
    </row>
    <row r="2" ht="15" customHeight="1" s="27">
      <c r="A2" s="29" t="inlineStr">
        <is>
          <t>Cells with green text are formulas; blue cells are direct inputs from Pricing Overview.</t>
        </is>
      </c>
    </row>
    <row r="3"/>
    <row r="4" ht="30" customHeight="1" s="27">
      <c r="A4" s="30" t="inlineStr">
        <is>
          <t>SKU</t>
        </is>
      </c>
      <c r="B4" s="30" t="inlineStr">
        <is>
          <t>Couple price (₱)</t>
        </is>
      </c>
      <c r="C4" s="30" t="inlineStr">
        <is>
          <t>Cost (₱)</t>
        </is>
      </c>
      <c r="D4" s="30" t="inlineStr">
        <is>
          <t>Margin (₱)</t>
        </is>
      </c>
      <c r="E4" s="30" t="inlineStr">
        <is>
          <t>Margin %</t>
        </is>
      </c>
      <c r="F4" s="30" t="inlineStr">
        <is>
          <t>Estimated demand factor</t>
        </is>
      </c>
    </row>
    <row r="5" ht="15" customHeight="1" s="27">
      <c r="A5" s="35" t="inlineStr">
        <is>
          <t>Hero Monogram Pro animation</t>
        </is>
      </c>
      <c r="B5" s="52">
        <f>'Pricing Overview'!D9</f>
        <v/>
      </c>
      <c r="C5" s="52">
        <f>'Pricing Overview'!E9</f>
        <v/>
      </c>
      <c r="D5" s="37">
        <f>B5-C5</f>
        <v/>
      </c>
      <c r="E5" s="38">
        <f>IF(B5=0,0,(B5-C5)/B5)</f>
        <v/>
      </c>
      <c r="F5" s="35" t="inlineStr">
        <is>
          <t>Medium</t>
        </is>
      </c>
    </row>
    <row r="6" ht="15" customHeight="1" s="27">
      <c r="A6" s="35" t="inlineStr">
        <is>
          <t>Venue Pro Waze deep-links</t>
        </is>
      </c>
      <c r="B6" s="52">
        <f>'Pricing Overview'!D10</f>
        <v/>
      </c>
      <c r="C6" s="52">
        <f>'Pricing Overview'!E10</f>
        <v/>
      </c>
      <c r="D6" s="37">
        <f>B6-C6</f>
        <v/>
      </c>
      <c r="E6" s="38">
        <f>IF(B6=0,0,(B6-C6)/B6)</f>
        <v/>
      </c>
      <c r="F6" s="35" t="inlineStr">
        <is>
          <t>Medium</t>
        </is>
      </c>
    </row>
    <row r="7" ht="15" customHeight="1" s="27">
      <c r="A7" s="35" t="inlineStr">
        <is>
          <t>Pro Bundle</t>
        </is>
      </c>
      <c r="B7" s="52">
        <f>'Pricing Overview'!D11</f>
        <v/>
      </c>
      <c r="C7" s="52">
        <f>'Pricing Overview'!E11</f>
        <v/>
      </c>
      <c r="D7" s="37">
        <f>B7-C7</f>
        <v/>
      </c>
      <c r="E7" s="38">
        <f>IF(B7=0,0,(B7-C7)/B7)</f>
        <v/>
      </c>
      <c r="F7" s="35" t="inlineStr">
        <is>
          <t>High</t>
        </is>
      </c>
    </row>
    <row r="8" ht="15" customHeight="1" s="27">
      <c r="A8" s="35" t="inlineStr">
        <is>
          <t>LED Background — 1080p</t>
        </is>
      </c>
      <c r="B8" s="52">
        <f>'Pricing Overview'!D13</f>
        <v/>
      </c>
      <c r="C8" s="52">
        <f>'Pricing Overview'!E13</f>
        <v/>
      </c>
      <c r="D8" s="37">
        <f>B8-C8</f>
        <v/>
      </c>
      <c r="E8" s="38">
        <f>IF(B8=0,0,(B8-C8)/B8)</f>
        <v/>
      </c>
      <c r="F8" s="35" t="inlineStr">
        <is>
          <t>Medium</t>
        </is>
      </c>
    </row>
    <row r="9" ht="15" customHeight="1" s="27">
      <c r="A9" s="35" t="inlineStr">
        <is>
          <t>LED Background — 4K</t>
        </is>
      </c>
      <c r="B9" s="52">
        <f>'Pricing Overview'!D14</f>
        <v/>
      </c>
      <c r="C9" s="52">
        <f>'Pricing Overview'!E14</f>
        <v/>
      </c>
      <c r="D9" s="37">
        <f>B9-C9</f>
        <v/>
      </c>
      <c r="E9" s="38">
        <f>IF(B9=0,0,(B9-C9)/B9)</f>
        <v/>
      </c>
      <c r="F9" s="35" t="inlineStr">
        <is>
          <t>High</t>
        </is>
      </c>
    </row>
    <row r="10" ht="15" customHeight="1" s="27">
      <c r="A10" s="35" t="inlineStr">
        <is>
          <t>LED Background — 8K</t>
        </is>
      </c>
      <c r="B10" s="52">
        <f>'Pricing Overview'!D15</f>
        <v/>
      </c>
      <c r="C10" s="52">
        <f>'Pricing Overview'!E15</f>
        <v/>
      </c>
      <c r="D10" s="37">
        <f>B10-C10</f>
        <v/>
      </c>
      <c r="E10" s="38">
        <f>IF(B10=0,0,(B10-C10)/B10)</f>
        <v/>
      </c>
      <c r="F10" s="35" t="inlineStr">
        <is>
          <t>Medium-High</t>
        </is>
      </c>
    </row>
    <row r="11" ht="15" customHeight="1" s="27">
      <c r="A11" s="35" t="inlineStr">
        <is>
          <t>BASE TIER · 3 Paparazzi</t>
        </is>
      </c>
      <c r="B11" s="52">
        <f>'Pricing Overview'!D19</f>
        <v/>
      </c>
      <c r="C11" s="52">
        <f>'Pricing Overview'!E19</f>
        <v/>
      </c>
      <c r="D11" s="37">
        <f>B11-C11</f>
        <v/>
      </c>
      <c r="E11" s="38">
        <f>IF(B11=0,0,(B11-C11)/B11)</f>
        <v/>
      </c>
      <c r="F11" s="35" t="inlineStr">
        <is>
          <t>High</t>
        </is>
      </c>
    </row>
    <row r="12" ht="15" customHeight="1" s="27">
      <c r="A12" s="35" t="inlineStr">
        <is>
          <t>BASE TIER · 5 Paparazzi</t>
        </is>
      </c>
      <c r="B12" s="52">
        <f>'Pricing Overview'!D20</f>
        <v/>
      </c>
      <c r="C12" s="52">
        <f>'Pricing Overview'!E20</f>
        <v/>
      </c>
      <c r="D12" s="37">
        <f>B12-C12</f>
        <v/>
      </c>
      <c r="E12" s="38">
        <f>IF(B12=0,0,(B12-C12)/B12)</f>
        <v/>
      </c>
      <c r="F12" s="35" t="inlineStr">
        <is>
          <t>Medium-High</t>
        </is>
      </c>
    </row>
    <row r="13" ht="23.85" customHeight="1" s="27">
      <c r="A13" s="35" t="inlineStr">
        <is>
          <t>ADD-ON · Personal Reel Template</t>
        </is>
      </c>
      <c r="B13" s="52">
        <f>'Pricing Overview'!D21</f>
        <v/>
      </c>
      <c r="C13" s="52">
        <f>'Pricing Overview'!E21</f>
        <v/>
      </c>
      <c r="D13" s="37">
        <f>B13-C13</f>
        <v/>
      </c>
      <c r="E13" s="38">
        <f>IF(B13=0,0,(B13-C13)/B13)</f>
        <v/>
      </c>
      <c r="F13" s="35" t="inlineStr">
        <is>
          <t>High (per template per event)</t>
        </is>
      </c>
    </row>
  </sheetData>
  <mergeCells count="2">
    <mergeCell ref="A2:F2"/>
    <mergeCell ref="A1:F1"/>
  </mergeCells>
  <conditionalFormatting sqref="E5:E13">
    <cfRule type="colorScale" priority="2">
      <colorScale>
        <cfvo type="num" val="0"/>
        <cfvo type="num" val="0.5"/>
        <cfvo type="num" val="1"/>
        <color rgb="FFFBE9E7"/>
        <color rgb="FFFFF8E1"/>
        <color rgb="FFDDEBDF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26" min="1" max="1"/>
    <col width="88" customWidth="1" style="26" min="2" max="2"/>
  </cols>
  <sheetData>
    <row r="1" ht="22.05" customHeight="1" s="27">
      <c r="A1" s="28" t="inlineStr">
        <is>
          <t>How to read this workbook</t>
        </is>
      </c>
    </row>
    <row r="2"/>
    <row r="3" ht="30" customHeight="1" s="27">
      <c r="A3" s="53" t="inlineStr">
        <is>
          <t>Pricing Overview</t>
        </is>
      </c>
      <c r="B3" s="54" t="inlineStr">
        <is>
          <t>Master view: every iteration's products, what couples pay, what we spend, automatic margin calculation. Start here.</t>
        </is>
      </c>
    </row>
    <row r="4" ht="30" customHeight="1" s="27">
      <c r="A4" s="53" t="inlineStr">
        <is>
          <t>Cost Breakdown</t>
        </is>
      </c>
      <c r="B4" s="54" t="inlineStr">
        <is>
          <t>Drill-down per SKU: every cost component (compute, storage, content amortization, etc.) that adds up to the per-unit cost on the master sheet.</t>
        </is>
      </c>
    </row>
    <row r="5" ht="30" customHeight="1" s="27">
      <c r="A5" s="53" t="inlineStr">
        <is>
          <t>One-Time Setup</t>
        </is>
      </c>
      <c r="B5" s="54" t="inlineStr">
        <is>
          <t>Up-front investments that get amortized into the per-unit cost. E.g., a ₱125,000 motion designer fee for 5 custom Lottie templates becomes ₱125 per render over 1,000 expected renders.</t>
        </is>
      </c>
    </row>
    <row r="6" ht="30" customHeight="1" s="27">
      <c r="A6" s="53" t="inlineStr">
        <is>
          <t>Margin Analysis</t>
        </is>
      </c>
      <c r="B6" s="54" t="inlineStr">
        <is>
          <t>Quick profitability scan. Margin % is conditionally color-graded (red = low, green = high) so you can spot the most profitable SKUs.</t>
        </is>
      </c>
    </row>
    <row r="7" ht="30" customHeight="1" s="27">
      <c r="A7" s="53" t="n"/>
      <c r="B7" s="54" t="n"/>
    </row>
    <row r="8" ht="30" customHeight="1" s="27">
      <c r="A8" s="53" t="inlineStr">
        <is>
          <t>Color conventions</t>
        </is>
      </c>
      <c r="B8" s="54" t="inlineStr">
        <is>
          <t>BLUE text = hardcoded input you can change (price, cost). BLACK text = formula. GREEN text = link to another sheet. The model recalculates automatically when inputs change.</t>
        </is>
      </c>
    </row>
    <row r="9" ht="30" customHeight="1" s="27">
      <c r="A9" s="53" t="n"/>
      <c r="B9" s="54" t="n"/>
    </row>
    <row r="10" ht="30" customHeight="1" s="27">
      <c r="A10" s="53" t="inlineStr">
        <is>
          <t>Pricing decisions captured</t>
        </is>
      </c>
      <c r="B10" s="54" t="inlineStr">
        <is>
          <t>All prices in this workbook reflect the locked pricing as of 2026-05-08:</t>
        </is>
      </c>
    </row>
    <row r="11" ht="30" customHeight="1" s="27">
      <c r="A11" s="53" t="n"/>
      <c r="B11" s="54" t="inlineStr">
        <is>
          <t xml:space="preserve">  • 0003 Pro widgets: Hero Monogram animation ₱99, Venue Waze ₱99, Pro Bundle ₱149</t>
        </is>
      </c>
    </row>
    <row r="12" ht="30" customHeight="1" s="27">
      <c r="A12" s="53" t="n"/>
      <c r="B12" s="54" t="inlineStr">
        <is>
          <t xml:space="preserve">  • 0004 LED renders: 1080p ₱249, 4K ₱399, 8K ₱599 per render</t>
        </is>
      </c>
    </row>
    <row r="13" ht="30" customHeight="1" s="27">
      <c r="A13" s="53" t="n"/>
      <c r="B13" s="54" t="inlineStr">
        <is>
          <t xml:space="preserve">  • 0008 Photo Delivery to Drive: ₱99 per event</t>
        </is>
      </c>
    </row>
    <row r="14" ht="30" customHeight="1" s="27">
      <c r="A14" s="53" t="n"/>
      <c r="B14" s="54" t="inlineStr">
        <is>
          <t xml:space="preserve">  • Base tiers: 3 Paparazzi ₱1,999, 5 Paparazzi ₱2,999</t>
        </is>
      </c>
    </row>
    <row r="15" ht="30" customHeight="1" s="27">
      <c r="A15" s="53" t="n"/>
      <c r="B15" s="54" t="inlineStr">
        <is>
          <t xml:space="preserve">  • Personal Reel Template add-on: ₱599 per template unlock</t>
        </is>
      </c>
    </row>
    <row r="16" ht="30" customHeight="1" s="27">
      <c r="A16" s="53" t="n"/>
      <c r="B16" s="54" t="inlineStr">
        <is>
          <t xml:space="preserve">  • All upgrades target ~90% gross margin at small-to-mid scale (≤300 weddings/year)</t>
        </is>
      </c>
    </row>
    <row r="17" ht="30" customHeight="1" s="27">
      <c r="A17" s="53" t="n"/>
      <c r="B17" s="54" t="n"/>
    </row>
    <row r="18" ht="30" customHeight="1" s="27">
      <c r="A18" s="53" t="inlineStr">
        <is>
          <t>Iterations awaiting pricing</t>
        </is>
      </c>
      <c r="B18" s="54" t="inlineStr">
        <is>
          <t>0005 Vendors, 0006 Budget, 0007 Seating Chart, 0009 Mood Board are placeholder specs — pricing will be added when those iterations are built in full.</t>
        </is>
      </c>
    </row>
    <row r="19" ht="30" customHeight="1" s="27">
      <c r="A19" s="53" t="n"/>
      <c r="B19" s="54" t="n"/>
    </row>
    <row r="20" ht="30" customHeight="1" s="27">
      <c r="A20" s="53" t="inlineStr">
        <is>
          <t>Per-unit costs are estimates</t>
        </is>
      </c>
      <c r="B20" s="54" t="inlineStr">
        <is>
          <t>Cost figures assume FFmpeg + Lottie + Cloudflare free-tier infrastructure. Volume scaling (&gt;300 weddings/year) may shift these costs slightly upward.</t>
        </is>
      </c>
    </row>
    <row r="21" ht="30" customHeight="1" s="27">
      <c r="A21" s="53" t="n"/>
      <c r="B21" s="54" t="n"/>
    </row>
    <row r="22" ht="30" customHeight="1" s="27">
      <c r="A22" s="53" t="inlineStr">
        <is>
          <t>To update prices</t>
        </is>
      </c>
      <c r="B22" s="54" t="inlineStr">
        <is>
          <t>Edit the BLUE cells on Pricing Overview. Margins recalculate automatically. To update the breakdown of how costs add up, edit the Cost Breakdown sheet.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2026-05-08T13:00:20Z</dcterms:created>
  <dcterms:modified xmlns:dcterms="http://purl.org/dc/terms/" xmlns:xsi="http://www.w3.org/2001/XMLSchema-instance" xsi:type="dcterms:W3CDTF">2026-05-12T11:26:12Z</dcterms:modified>
  <cp:revision>0</cp:revision>
</cp:coreProperties>
</file>