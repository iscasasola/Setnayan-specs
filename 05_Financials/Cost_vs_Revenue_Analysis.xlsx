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KU Pricing &amp; Cost" sheetId="1" state="visible" r:id="rId1"/>
    <sheet xmlns:r="http://schemas.openxmlformats.org/officeDocument/2006/relationships" name="Three Couple Scenarios" sheetId="2" state="visible" r:id="rId2"/>
    <sheet xmlns:r="http://schemas.openxmlformats.org/officeDocument/2006/relationships" name="Notes &amp; Assumption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₱#,##0;[RED]&quot;₱(&quot;#,##0\);\—"/>
    <numFmt numFmtId="165" formatCode="0.0%;[RED]\(0.0%\);\—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11827"/>
      <sz val="18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11827"/>
      <sz val="11"/>
    </font>
    <font>
      <name val="Arial"/>
      <charset val="1"/>
      <family val="0"/>
      <b val="1"/>
      <color rgb="FF111827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6B7280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065F46"/>
      <sz val="12"/>
    </font>
    <font>
      <name val="Arial"/>
      <charset val="1"/>
      <family val="0"/>
      <b val="1"/>
      <color rgb="FF111827"/>
      <sz val="14"/>
    </font>
  </fonts>
  <fills count="7">
    <fill>
      <patternFill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374151"/>
        <bgColor rgb="FF333399"/>
      </patternFill>
    </fill>
    <fill>
      <patternFill patternType="solid">
        <fgColor rgb="FFFEF3C7"/>
        <bgColor rgb="FFFFFACD"/>
      </patternFill>
    </fill>
    <fill>
      <patternFill patternType="solid">
        <fgColor rgb="FFFFFACD"/>
        <bgColor rgb="FFFEF3C7"/>
      </patternFill>
    </fill>
    <fill>
      <patternFill patternType="solid">
        <fgColor rgb="FFDCFCE7"/>
        <bgColor rgb="FFCC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left" vertical="center" wrapText="1"/>
    </xf>
    <xf numFmtId="164" fontId="12" fillId="6" borderId="0" applyAlignment="1" pivotButton="0" quotePrefix="0" xfId="0">
      <alignment horizontal="right" vertical="center"/>
    </xf>
    <xf numFmtId="165" fontId="12" fillId="6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left" vertical="center" wrapText="1"/>
    </xf>
    <xf numFmtId="164" fontId="12" fillId="6" borderId="0" applyAlignment="1" pivotButton="0" quotePrefix="0" xfId="0">
      <alignment horizontal="right" vertical="center"/>
    </xf>
    <xf numFmtId="165" fontId="12" fillId="6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ACD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26" min="1" max="1"/>
    <col width="42" customWidth="1" style="26" min="2" max="2"/>
    <col width="14" customWidth="1" style="26" min="3" max="5"/>
    <col width="11" customWidth="1" style="26" min="6" max="6"/>
    <col width="14" customWidth="1" style="26" min="7" max="7"/>
    <col width="38" customWidth="1" style="26" min="8" max="8"/>
  </cols>
  <sheetData>
    <row r="1" ht="31.5" customHeight="1" s="27">
      <c r="A1" s="28" t="inlineStr">
        <is>
          <t>Setnayan SKU Pricing &amp; Cost — new unlock-tier model</t>
        </is>
      </c>
    </row>
    <row r="2" ht="21.75" customHeight="1" s="27">
      <c r="A2" s="29" t="inlineStr">
        <is>
          <t>Every SKU shows Couple pays + Setnayan's spend + Margin. Margin% = how much we keep. Duration = how long the unlock is active.</t>
        </is>
      </c>
    </row>
    <row r="3"/>
    <row r="4" ht="31.5" customHeight="1" s="27">
      <c r="A4" s="30" t="inlineStr">
        <is>
          <t>#</t>
        </is>
      </c>
      <c r="B4" s="30" t="inlineStr">
        <is>
          <t>Service</t>
        </is>
      </c>
      <c r="C4" s="30" t="inlineStr">
        <is>
          <t>Couple pays (PHP)</t>
        </is>
      </c>
      <c r="D4" s="30" t="inlineStr">
        <is>
          <t>Setnayan cost (PHP)</t>
        </is>
      </c>
      <c r="E4" s="30" t="inlineStr">
        <is>
          <t>Margin (PHP)</t>
        </is>
      </c>
      <c r="F4" s="30" t="inlineStr">
        <is>
          <t>Margin %</t>
        </is>
      </c>
      <c r="G4" s="30" t="inlineStr">
        <is>
          <t>Duration</t>
        </is>
      </c>
      <c r="H4" s="30" t="inlineStr">
        <is>
          <t>Notes</t>
        </is>
      </c>
    </row>
    <row r="5" ht="21.75" customHeight="1" s="27">
      <c r="A5" s="31" t="inlineStr">
        <is>
          <t>LANDING PAGE — 1 year unlock duration</t>
        </is>
      </c>
    </row>
    <row r="6" ht="30" customHeight="1" s="27">
      <c r="A6" s="32" t="n">
        <v>1</v>
      </c>
      <c r="B6" s="33" t="inlineStr">
        <is>
          <t>Unlock landing page (basic)</t>
        </is>
      </c>
      <c r="C6" s="34" t="n">
        <v>499</v>
      </c>
      <c r="D6" s="35" t="n">
        <v>0</v>
      </c>
      <c r="E6" s="36">
        <f>C6-D6</f>
        <v/>
      </c>
      <c r="F6" s="37">
        <f>IF(C6=0,"—",(C6-D6)/C6)</f>
        <v/>
      </c>
      <c r="G6" s="32" t="inlineStr">
        <is>
          <t>1 year</t>
        </is>
      </c>
      <c r="H6" s="38" t="inlineStr">
        <is>
          <t>Pure software margin. SSR + R2 image hosting + DB row. Negligible cost.</t>
        </is>
      </c>
    </row>
    <row r="7" ht="30" customHeight="1" s="27">
      <c r="A7" s="32" t="n">
        <v>2</v>
      </c>
      <c r="B7" s="33" t="inlineStr">
        <is>
          <t>Unlock Pro features of landing page</t>
        </is>
      </c>
      <c r="C7" s="34" t="n">
        <v>499</v>
      </c>
      <c r="D7" s="35" t="n">
        <v>0</v>
      </c>
      <c r="E7" s="36">
        <f>C7-D7</f>
        <v/>
      </c>
      <c r="F7" s="37">
        <f>IF(C7=0,"—",(C7-D7)/C7)</f>
        <v/>
      </c>
      <c r="G7" s="32" t="inlineStr">
        <is>
          <t>1 year</t>
        </is>
      </c>
      <c r="H7" s="38" t="inlineStr">
        <is>
          <t>Animations + Pro Hero + Our Story + Schedule widgets. Pure software margin.</t>
        </is>
      </c>
    </row>
    <row r="8" ht="30" customHeight="1" s="27">
      <c r="A8" s="32" t="n">
        <v>3</v>
      </c>
      <c r="B8" s="33" t="inlineStr">
        <is>
          <t>Unlock personalized QR (gateway)</t>
        </is>
      </c>
      <c r="C8" s="34" t="n">
        <v>499</v>
      </c>
      <c r="D8" s="35" t="n">
        <v>1</v>
      </c>
      <c r="E8" s="36">
        <f>C8-D8</f>
        <v/>
      </c>
      <c r="F8" s="37">
        <f>IF(C8=0,"—",(C8-D8)/C8)</f>
        <v/>
      </c>
      <c r="G8" s="32" t="inlineStr">
        <is>
          <t>1 year</t>
        </is>
      </c>
      <c r="H8" s="38" t="inlineStr">
        <is>
          <t>REQUIRED to connect Papic + Live Stream to event. QR generation is free; ₱1 = DB row + token mgmt.</t>
        </is>
      </c>
    </row>
    <row r="9" ht="30" customHeight="1" s="27">
      <c r="A9" s="32" t="n">
        <v>4</v>
      </c>
      <c r="B9" s="33" t="inlineStr">
        <is>
          <t>Renew any landing-page unlock (year 2+)</t>
        </is>
      </c>
      <c r="C9" s="34" t="n">
        <v>499</v>
      </c>
      <c r="D9" s="35" t="n">
        <v>0</v>
      </c>
      <c r="E9" s="36">
        <f>C9-D9</f>
        <v/>
      </c>
      <c r="F9" s="37">
        <f>IF(C9=0,"—",(C9-D9)/C9)</f>
        <v/>
      </c>
      <c r="G9" s="32" t="inlineStr">
        <is>
          <t>1 year</t>
        </is>
      </c>
      <c r="H9" s="38" t="inlineStr">
        <is>
          <t>Annual renewal per component.</t>
        </is>
      </c>
    </row>
    <row r="10" ht="21.75" customHeight="1" s="27">
      <c r="A10" s="31" t="inlineStr">
        <is>
          <t>LIVE STREAM — base unlock + metered usage</t>
        </is>
      </c>
    </row>
    <row r="11" ht="30" customHeight="1" s="27">
      <c r="A11" s="32" t="n">
        <v>5</v>
      </c>
      <c r="B11" s="33" t="inlineStr">
        <is>
          <t>Unlock Live Stream base (3 cams + 3 hrs incl., HDMI free)</t>
        </is>
      </c>
      <c r="C11" s="34" t="n">
        <v>2999</v>
      </c>
      <c r="D11" s="35" t="n">
        <v>120</v>
      </c>
      <c r="E11" s="36">
        <f>C11-D11</f>
        <v/>
      </c>
      <c r="F11" s="37">
        <f>IF(C11=0,"—",(C11-D11)/C11)</f>
        <v/>
      </c>
      <c r="G11" s="32" t="inlineStr">
        <is>
          <t>per event</t>
        </is>
      </c>
      <c r="H11" s="38" t="inlineStr">
        <is>
          <t>Cloudflare Stream Live ingest if 3 cams × 3 hrs are fully used. Less if shorter.</t>
        </is>
      </c>
    </row>
    <row r="12" ht="30" customHeight="1" s="27">
      <c r="A12" s="32" t="n">
        <v>6</v>
      </c>
      <c r="B12" s="33" t="inlineStr">
        <is>
          <t>Live Stream — per additional hour</t>
        </is>
      </c>
      <c r="C12" s="34" t="n">
        <v>799</v>
      </c>
      <c r="D12" s="35" t="n">
        <v>50</v>
      </c>
      <c r="E12" s="36">
        <f>C12-D12</f>
        <v/>
      </c>
      <c r="F12" s="37">
        <f>IF(C12=0,"—",(C12-D12)/C12)</f>
        <v/>
      </c>
      <c r="G12" s="32" t="inlineStr">
        <is>
          <t>per hour</t>
        </is>
      </c>
      <c r="H12" s="38" t="inlineStr">
        <is>
          <t>Metered from GO LIVE tap. Auto-pause after 30 mins no inbound video.</t>
        </is>
      </c>
    </row>
    <row r="13" ht="30" customHeight="1" s="27">
      <c r="A13" s="32" t="n">
        <v>7</v>
      </c>
      <c r="B13" s="33" t="inlineStr">
        <is>
          <t>Live Stream — per additional camera-hour</t>
        </is>
      </c>
      <c r="C13" s="34" t="n">
        <v>199</v>
      </c>
      <c r="D13" s="35" t="n">
        <v>30</v>
      </c>
      <c r="E13" s="36">
        <f>C13-D13</f>
        <v/>
      </c>
      <c r="F13" s="37">
        <f>IF(C13=0,"—",(C13-D13)/C13)</f>
        <v/>
      </c>
      <c r="G13" s="32" t="inlineStr">
        <is>
          <t>per cam-hr</t>
        </is>
      </c>
      <c r="H13" s="38" t="inlineStr">
        <is>
          <t>Only counted while that cam is actively publishing.</t>
        </is>
      </c>
    </row>
    <row r="14" ht="30" customHeight="1" s="27">
      <c r="A14" s="32" t="n">
        <v>8</v>
      </c>
      <c r="B14" s="33" t="inlineStr">
        <is>
          <t>SLR Sync (DSLR pairing per camera)</t>
        </is>
      </c>
      <c r="C14" s="34" t="n">
        <v>99</v>
      </c>
      <c r="D14" s="35" t="n">
        <v>0</v>
      </c>
      <c r="E14" s="36">
        <f>C14-D14</f>
        <v/>
      </c>
      <c r="F14" s="37">
        <f>IF(C14=0,"—",(C14-D14)/C14)</f>
        <v/>
      </c>
      <c r="G14" s="32" t="inlineStr">
        <is>
          <t>per cam</t>
        </is>
      </c>
      <c r="H14" s="38" t="inlineStr">
        <is>
          <t>Shared SKU — works for both Papic AND Live Stream. Pure software margin. Pair Canon/Nikon/Sony/Fujifilm via WiFi SDK.</t>
        </is>
      </c>
    </row>
    <row r="15" ht="21.75" customHeight="1" s="27">
      <c r="A15" s="31" t="inlineStr">
        <is>
          <t>PAPIC — base unlock + event-day packs (cost revised for 90-day retention)</t>
        </is>
      </c>
    </row>
    <row r="16" ht="30" customHeight="1" s="27">
      <c r="A16" s="32" t="n">
        <v>9</v>
      </c>
      <c r="B16" s="33" t="inlineStr">
        <is>
          <t>Unlock Papic (3 cams + system, NO storage)</t>
        </is>
      </c>
      <c r="C16" s="34" t="n">
        <v>1999</v>
      </c>
      <c r="D16" s="35" t="n">
        <v>15</v>
      </c>
      <c r="E16" s="36">
        <f>C16-D16</f>
        <v/>
      </c>
      <c r="F16" s="37">
        <f>IF(C16=0,"—",(C16-D16)/C16)</f>
        <v/>
      </c>
      <c r="G16" s="32" t="inlineStr">
        <is>
          <t>per event</t>
        </is>
      </c>
      <c r="H16" s="38" t="inlineStr">
        <is>
          <t>Just the seat tokens + face vector store + gallery infrastructure. Storage is BOUGHT separately in event-day pack.</t>
        </is>
      </c>
    </row>
    <row r="17" ht="30" customHeight="1" s="27">
      <c r="A17" s="32" t="n">
        <v>10</v>
      </c>
      <c r="B17" s="33" t="inlineStr">
        <is>
          <t>Event days — 1 day / 17 GB storage</t>
        </is>
      </c>
      <c r="C17" s="34" t="n">
        <v>499</v>
      </c>
      <c r="D17" s="35" t="n">
        <v>23</v>
      </c>
      <c r="E17" s="36">
        <f>C17-D17</f>
        <v/>
      </c>
      <c r="F17" s="37">
        <f>IF(C17=0,"—",(C17-D17)/C17)</f>
        <v/>
      </c>
      <c r="G17" s="32" t="inlineStr">
        <is>
          <t>1 day</t>
        </is>
      </c>
      <c r="H17" s="38" t="inlineStr">
        <is>
          <t>STORAGE pack. 17 GB = 5,000 photos + 500 clips. New retention: 30 days full quality + 60 days compressed-further. Effective cost: ₱23. Margin 95.4%.</t>
        </is>
      </c>
    </row>
    <row r="18" ht="30" customHeight="1" s="27">
      <c r="A18" s="32" t="n">
        <v>11</v>
      </c>
      <c r="B18" s="33" t="inlineStr">
        <is>
          <t>Event days — 7 days / 100 GB storage</t>
        </is>
      </c>
      <c r="C18" s="34" t="n">
        <v>2999</v>
      </c>
      <c r="D18" s="35" t="n">
        <v>135</v>
      </c>
      <c r="E18" s="36">
        <f>C18-D18</f>
        <v/>
      </c>
      <c r="F18" s="37">
        <f>IF(C18=0,"—",(C18-D18)/C18)</f>
        <v/>
      </c>
      <c r="G18" s="32" t="inlineStr">
        <is>
          <t>7 days</t>
        </is>
      </c>
      <c r="H18" s="38" t="inlineStr">
        <is>
          <t>STORAGE pack. 100 GB = ~30,000 photos + 3,000 clips. Same retention. Effective cost: ₱135. Margin 95.5%.</t>
        </is>
      </c>
    </row>
    <row r="19" ht="30" customHeight="1" s="27">
      <c r="A19" s="32" t="n">
        <v>12</v>
      </c>
      <c r="B19" s="33" t="inlineStr">
        <is>
          <t>Event days — 30 days / 500 GB storage</t>
        </is>
      </c>
      <c r="C19" s="34" t="n">
        <v>12999</v>
      </c>
      <c r="D19" s="35" t="n">
        <v>675</v>
      </c>
      <c r="E19" s="36">
        <f>C19-D19</f>
        <v/>
      </c>
      <c r="F19" s="37">
        <f>IF(C19=0,"—",(C19-D19)/C19)</f>
        <v/>
      </c>
      <c r="G19" s="32" t="inlineStr">
        <is>
          <t>30 days</t>
        </is>
      </c>
      <c r="H19" s="38" t="inlineStr">
        <is>
          <t>STORAGE pack. 500 GB = ~150,000 photos + 15,000 clips. Effective cost: ₱675 (was ₱1,260 under old 90-day full retention). Margin 94.8%.</t>
        </is>
      </c>
    </row>
    <row r="20" ht="30" customHeight="1" s="27">
      <c r="A20" s="32" t="n">
        <v>13</v>
      </c>
      <c r="B20" s="33" t="inlineStr">
        <is>
          <t>4K Upgrade (per event)</t>
        </is>
      </c>
      <c r="C20" s="34" t="n">
        <v>1499</v>
      </c>
      <c r="D20" s="35" t="n">
        <v>450</v>
      </c>
      <c r="E20" s="36">
        <f>C20-D20</f>
        <v/>
      </c>
      <c r="F20" s="37">
        <f>IF(C20=0,"—",(C20-D20)/C20)</f>
        <v/>
      </c>
      <c r="G20" s="32" t="inlineStr">
        <is>
          <t>per event</t>
        </is>
      </c>
      <c r="H20" s="38" t="inlineStr">
        <is>
          <t>Toggles all video to 4K — Papic clips, Video Dedications, Live Stream. Storage cap auto-expands 3x. Margin 70%.</t>
        </is>
      </c>
    </row>
    <row r="21" ht="30" customHeight="1" s="27">
      <c r="A21" s="32" t="n">
        <v>14</v>
      </c>
      <c r="B21" s="33" t="inlineStr">
        <is>
          <t>Storage overage (₱99 per extra GB)</t>
        </is>
      </c>
      <c r="C21" s="34" t="n">
        <v>99</v>
      </c>
      <c r="D21" s="35" t="n">
        <v>1</v>
      </c>
      <c r="E21" s="36">
        <f>C21-D21</f>
        <v/>
      </c>
      <c r="F21" s="37">
        <f>IF(C21=0,"—",(C21-D21)/C21)</f>
        <v/>
      </c>
      <c r="G21" s="32" t="inlineStr">
        <is>
          <t>per GB</t>
        </is>
      </c>
      <c r="H21" s="38" t="inlineStr">
        <is>
          <t>If couple hits cap, can buy emergency overage at ₱99/GB. Real cost ~₱1/GB (90-day R2). High-margin lever.</t>
        </is>
      </c>
    </row>
    <row r="22" ht="30" customHeight="1" s="27">
      <c r="A22" s="32" t="n">
        <v>15</v>
      </c>
      <c r="B22" s="33" t="inlineStr">
        <is>
          <t>Mid-event pack upgrade</t>
        </is>
      </c>
      <c r="C22" s="34" t="n">
        <v>0</v>
      </c>
      <c r="D22" s="35" t="n">
        <v>0</v>
      </c>
      <c r="E22" s="36">
        <f>C22-D22</f>
        <v/>
      </c>
      <c r="F22" s="37">
        <f>IF(C22=0,"—",(C22-D22)/C22)</f>
        <v/>
      </c>
      <c r="G22" s="32" t="inlineStr">
        <is>
          <t>per event</t>
        </is>
      </c>
      <c r="H22" s="38" t="inlineStr">
        <is>
          <t>Couple can upgrade pack mid-event by paying the difference (₱299→₱1,999 = ₱1,700 to upgrade).</t>
        </is>
      </c>
    </row>
    <row r="23" ht="30" customHeight="1" s="27">
      <c r="A23" s="32" t="n">
        <v>16</v>
      </c>
      <c r="B23" s="33" t="inlineStr">
        <is>
          <t>Recommended photo compression</t>
        </is>
      </c>
      <c r="C23" s="34" t="n">
        <v>0</v>
      </c>
      <c r="D23" s="35" t="n">
        <v>0</v>
      </c>
      <c r="E23" s="36">
        <f>C23-D23</f>
        <v/>
      </c>
      <c r="F23" s="37">
        <f>IF(C23=0,"—",(C23-D23)/C23)</f>
        <v/>
      </c>
      <c r="G23" s="32" t="inlineStr">
        <is>
          <t>always</t>
        </is>
      </c>
      <c r="H23" s="38" t="inlineStr">
        <is>
          <t>Auto-compress to 2 MB JPEG at 80% quality. 5,000 photos = ~10 GB. ~₱25-30 storage over 90 days.</t>
        </is>
      </c>
    </row>
    <row r="24" ht="21.75" customHeight="1" s="27">
      <c r="A24" s="31" t="inlineStr">
        <is>
          <t>REELS MAKER — per-render pricing</t>
        </is>
      </c>
    </row>
    <row r="25" ht="30" customHeight="1" s="27">
      <c r="A25" s="32" t="n">
        <v>17</v>
      </c>
      <c r="B25" s="33" t="inlineStr">
        <is>
          <t>Reels maker — per reel</t>
        </is>
      </c>
      <c r="C25" s="34" t="n">
        <v>99</v>
      </c>
      <c r="D25" s="35" t="n">
        <v>1</v>
      </c>
      <c r="E25" s="36">
        <f>C25-D25</f>
        <v/>
      </c>
      <c r="F25" s="37">
        <f>IF(C25=0,"—",(C25-D25)/C25)</f>
        <v/>
      </c>
      <c r="G25" s="32" t="inlineStr">
        <is>
          <t>per reel</t>
        </is>
      </c>
      <c r="H25" s="38" t="inlineStr">
        <is>
          <t>FFmpeg compute. ₱1/render at moderate volume, ~₱0.50 at scale on Hetzner VM pool.</t>
        </is>
      </c>
    </row>
    <row r="26" ht="30" customHeight="1" s="27">
      <c r="A26" s="32" t="n">
        <v>18</v>
      </c>
      <c r="B26" s="33" t="inlineStr">
        <is>
          <t>Reels maker — 200-reel bundle</t>
        </is>
      </c>
      <c r="C26" s="34" t="n">
        <v>8999</v>
      </c>
      <c r="D26" s="35" t="n">
        <v>200</v>
      </c>
      <c r="E26" s="36">
        <f>C26-D26</f>
        <v/>
      </c>
      <c r="F26" s="37">
        <f>IF(C26=0,"—",(C26-D26)/C26)</f>
        <v/>
      </c>
      <c r="G26" s="32" t="inlineStr">
        <is>
          <t>200 reels</t>
        </is>
      </c>
      <c r="H26" s="38" t="inlineStr">
        <is>
          <t>200 × ₱1/render. Bundle saves couple ~55% vs per-reel rate.</t>
        </is>
      </c>
    </row>
    <row r="27" ht="30" customHeight="1" s="27">
      <c r="A27" s="32" t="n">
        <v>19</v>
      </c>
      <c r="B27" s="33" t="inlineStr">
        <is>
          <t>Reels maker — additional after 200-bundle</t>
        </is>
      </c>
      <c r="C27" s="34" t="n">
        <v>49</v>
      </c>
      <c r="D27" s="35" t="n">
        <v>1</v>
      </c>
      <c r="E27" s="36">
        <f>C27-D27</f>
        <v/>
      </c>
      <c r="F27" s="37">
        <f>IF(C27=0,"—",(C27-D27)/C27)</f>
        <v/>
      </c>
      <c r="G27" s="32" t="inlineStr">
        <is>
          <t>per reel</t>
        </is>
      </c>
      <c r="H27" s="38" t="inlineStr">
        <is>
          <t>Discounted overage rate.</t>
        </is>
      </c>
    </row>
    <row r="28" ht="21.75" customHeight="1" s="27">
      <c r="A28" s="31" t="inlineStr">
        <is>
          <t>VIDEO DEDICATION — guest 15-sec messages</t>
        </is>
      </c>
    </row>
    <row r="29" ht="30" customHeight="1" s="27">
      <c r="A29" s="32" t="n">
        <v>20</v>
      </c>
      <c r="B29" s="33" t="inlineStr">
        <is>
          <t>Video Dedication block (100 dedications)</t>
        </is>
      </c>
      <c r="C29" s="34" t="n">
        <v>299</v>
      </c>
      <c r="D29" s="35" t="n">
        <v>10</v>
      </c>
      <c r="E29" s="36">
        <f>C29-D29</f>
        <v/>
      </c>
      <c r="F29" s="37">
        <f>IF(C29=0,"—",(C29-D29)/C29)</f>
        <v/>
      </c>
      <c r="G29" s="32" t="inlineStr">
        <is>
          <t>per event</t>
        </is>
      </c>
      <c r="H29" s="38" t="inlineStr">
        <is>
          <t>100 × 15-sec video messages from guests. Sold per 100-block. Storage ~4 GB × 90 days R2 = ~₱10. Margin ~97%.</t>
        </is>
      </c>
    </row>
    <row r="30" ht="30" customHeight="1" s="27">
      <c r="A30" s="32" t="n">
        <v>21</v>
      </c>
      <c r="B30" s="33" t="inlineStr">
        <is>
          <t>Video Dedication — additional 100-block</t>
        </is>
      </c>
      <c r="C30" s="34" t="n">
        <v>299</v>
      </c>
      <c r="D30" s="35" t="n">
        <v>10</v>
      </c>
      <c r="E30" s="36">
        <f>C30-D30</f>
        <v/>
      </c>
      <c r="F30" s="37">
        <f>IF(C30=0,"—",(C30-D30)/C30)</f>
        <v/>
      </c>
      <c r="G30" s="32" t="inlineStr">
        <is>
          <t>per event</t>
        </is>
      </c>
      <c r="H30" s="38" t="inlineStr">
        <is>
          <t>Need more? Buy another block. Multi-purchase, no cap. 1,000-dedication wedding = 10 blocks = ₱2,990.</t>
        </is>
      </c>
    </row>
    <row r="31" ht="21.75" customHeight="1" s="27">
      <c r="A31" s="31" t="inlineStr">
        <is>
          <t>STORAGE &amp; DELIVERY (revised 2026-05-11 — event-end curation flow)</t>
        </is>
      </c>
    </row>
    <row r="32" ht="30" customHeight="1" s="27">
      <c r="A32" s="32" t="n">
        <v>22</v>
      </c>
      <c r="B32" s="33" t="inlineStr">
        <is>
          <t>Event-end auto-curation</t>
        </is>
      </c>
      <c r="C32" s="34" t="n">
        <v>0</v>
      </c>
      <c r="D32" s="35" t="n">
        <v>10</v>
      </c>
      <c r="E32" s="36">
        <f>C32-D32</f>
        <v/>
      </c>
      <c r="F32" s="37">
        <f>IF(C32=0,"—",(C32-D32)/C32)</f>
        <v/>
      </c>
      <c r="G32" s="32" t="inlineStr">
        <is>
          <t>per event</t>
        </is>
      </c>
      <c r="H32" s="38" t="inlineStr">
        <is>
          <t>When event ends, Setnayan auto-organizes files (tagged photos / dedications / reels). Couple downloads in real-time from dashboard.</t>
        </is>
      </c>
    </row>
    <row r="33" ht="30" customHeight="1" s="27">
      <c r="A33" s="32" t="n">
        <v>23</v>
      </c>
      <c r="B33" s="33" t="inlineStr">
        <is>
          <t>30-day full-quality download window</t>
        </is>
      </c>
      <c r="C33" s="34" t="n">
        <v>0</v>
      </c>
      <c r="D33" s="35" t="n">
        <v>0</v>
      </c>
      <c r="E33" s="36">
        <f>C33-D33</f>
        <v/>
      </c>
      <c r="F33" s="37">
        <f>IF(C33=0,"—",(C33-D33)/C33)</f>
        <v/>
      </c>
      <c r="G33" s="32" t="inlineStr">
        <is>
          <t>30 days</t>
        </is>
      </c>
      <c r="H33" s="38" t="inlineStr">
        <is>
          <t>Couple downloads originals at full quality from Setnayan for 30 days after event end. Real-time bandwidth.</t>
        </is>
      </c>
    </row>
    <row r="34" ht="30" customHeight="1" s="27">
      <c r="A34" s="32" t="n">
        <v>24</v>
      </c>
      <c r="B34" s="33" t="inlineStr">
        <is>
          <t>Post-30-day further compression</t>
        </is>
      </c>
      <c r="C34" s="34" t="n">
        <v>0</v>
      </c>
      <c r="D34" s="35" t="n">
        <v>0</v>
      </c>
      <c r="E34" s="36">
        <f>C34-D34</f>
        <v/>
      </c>
      <c r="F34" s="37">
        <f>IF(C34=0,"—",(C34-D34)/C34)</f>
        <v/>
      </c>
      <c r="G34" s="32" t="inlineStr">
        <is>
          <t>automatic</t>
        </is>
      </c>
      <c r="H34" s="38" t="inlineStr">
        <is>
          <t>After day 30, files compress ~70% further to reduce storage cost. Couple can still view but downloads are compressed.</t>
        </is>
      </c>
    </row>
    <row r="35" ht="30" customHeight="1" s="27">
      <c r="A35" s="32" t="n">
        <v>25</v>
      </c>
      <c r="B35" s="33" t="inlineStr">
        <is>
          <t>R2 photo retention</t>
        </is>
      </c>
      <c r="C35" s="34" t="n">
        <v>0</v>
      </c>
      <c r="D35" s="35" t="n">
        <v>0</v>
      </c>
      <c r="E35" s="36">
        <f>C35-D35</f>
        <v/>
      </c>
      <c r="F35" s="37">
        <f>IF(C35=0,"—",(C35-D35)/C35)</f>
        <v/>
      </c>
      <c r="G35" s="32" t="inlineStr">
        <is>
          <t>90 days</t>
        </is>
      </c>
      <c r="H35" s="38" t="inlineStr">
        <is>
          <t>Hot tier 30 days, then compressed for next 60 days. Total 90-day retention. Beyond that → couple's Drive copies only.</t>
        </is>
      </c>
    </row>
    <row r="36" ht="30" customHeight="1" s="27">
      <c r="A36" s="32" t="n">
        <v>26</v>
      </c>
      <c r="B36" s="33" t="inlineStr">
        <is>
          <t>Daily Drive transfer (legacy)</t>
        </is>
      </c>
      <c r="C36" s="34" t="n">
        <v>0</v>
      </c>
      <c r="D36" s="35" t="n">
        <v>0</v>
      </c>
      <c r="E36" s="36">
        <f>C36-D36</f>
        <v/>
      </c>
      <c r="F36" s="37">
        <f>IF(C36=0,"—",(C36-D36)/C36)</f>
        <v/>
      </c>
      <c r="G36" s="32" t="inlineStr">
        <is>
          <t>—</t>
        </is>
      </c>
      <c r="H36" s="38" t="inlineStr">
        <is>
          <t>REMOVED. Replaced by event-end curation + 30-day download window. Couples download directly from Setnayan dashboard, real-time.</t>
        </is>
      </c>
    </row>
  </sheetData>
  <mergeCells count="8">
    <mergeCell ref="A5:H5"/>
    <mergeCell ref="A15:H15"/>
    <mergeCell ref="A24:H24"/>
    <mergeCell ref="A2:H2"/>
    <mergeCell ref="A10:H10"/>
    <mergeCell ref="A28:H28"/>
    <mergeCell ref="A1:H1"/>
    <mergeCell ref="A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26" min="1" max="1"/>
    <col width="38" customWidth="1" style="26" min="2" max="2"/>
    <col width="7" customWidth="1" style="26" min="3" max="3"/>
    <col width="13" customWidth="1" style="26" min="4" max="4"/>
    <col width="7" customWidth="1" style="26" min="5" max="5"/>
    <col width="13" customWidth="1" style="26" min="6" max="6"/>
    <col width="7" customWidth="1" style="26" min="7" max="7"/>
    <col width="13" customWidth="1" style="26" min="8" max="8"/>
    <col width="14" customWidth="1" style="26" min="9" max="9"/>
    <col width="12" customWidth="1" style="26" min="10" max="12"/>
  </cols>
  <sheetData>
    <row r="1" ht="31.5" customHeight="1" s="27">
      <c r="A1" s="28" t="inlineStr">
        <is>
          <t>Three Couple Scenarios — Revenue, Cost, Margin</t>
        </is>
      </c>
    </row>
    <row r="2" ht="21.75" customHeight="1" s="27">
      <c r="A2" s="29" t="inlineStr">
        <is>
          <t>Three couple profiles spending against the new pricing model. Columns A/B/C show quantity per SKU and live-calculated subtotals. Bottom shows revenue, cost, and net.</t>
        </is>
      </c>
    </row>
    <row r="3" ht="15" customHeight="1" s="27">
      <c r="C3" s="39" t="inlineStr">
        <is>
          <t>A. BASIC</t>
        </is>
      </c>
      <c r="E3" s="39" t="inlineStr">
        <is>
          <t>B. PREMIUM</t>
        </is>
      </c>
      <c r="G3" s="39" t="inlineStr">
        <is>
          <t>C. ALL-IN</t>
        </is>
      </c>
      <c r="J3" s="39" t="inlineStr">
        <is>
          <t>TAYO COST</t>
        </is>
      </c>
    </row>
    <row r="4" ht="27.75" customHeight="1" s="27">
      <c r="A4" s="30" t="inlineStr">
        <is>
          <t>#</t>
        </is>
      </c>
      <c r="B4" s="30" t="inlineStr">
        <is>
          <t>Service</t>
        </is>
      </c>
      <c r="C4" s="30" t="inlineStr">
        <is>
          <t>Qty A</t>
        </is>
      </c>
      <c r="D4" s="30" t="inlineStr">
        <is>
          <t>Subtotal A</t>
        </is>
      </c>
      <c r="E4" s="30" t="inlineStr">
        <is>
          <t>Qty B</t>
        </is>
      </c>
      <c r="F4" s="30" t="inlineStr">
        <is>
          <t>Subtotal B</t>
        </is>
      </c>
      <c r="G4" s="30" t="inlineStr">
        <is>
          <t>Qty C</t>
        </is>
      </c>
      <c r="H4" s="30" t="inlineStr">
        <is>
          <t>Subtotal C</t>
        </is>
      </c>
      <c r="I4" s="30" t="inlineStr">
        <is>
          <t>Setnayan cost / unit</t>
        </is>
      </c>
      <c r="J4" s="30" t="inlineStr">
        <is>
          <t>Cost A</t>
        </is>
      </c>
      <c r="K4" s="30" t="inlineStr">
        <is>
          <t>Cost B</t>
        </is>
      </c>
      <c r="L4" s="30" t="inlineStr">
        <is>
          <t>Cost C</t>
        </is>
      </c>
    </row>
    <row r="5" ht="24" customHeight="1" s="27">
      <c r="A5" s="32" t="n">
        <v>1</v>
      </c>
      <c r="B5" s="40" t="inlineStr">
        <is>
          <t>Unlock landing page (basic)</t>
        </is>
      </c>
      <c r="C5" s="41" t="n">
        <v>1</v>
      </c>
      <c r="D5" s="42">
        <f>C5*499</f>
        <v/>
      </c>
      <c r="E5" s="41" t="n">
        <v>1</v>
      </c>
      <c r="F5" s="42">
        <f>E5*499</f>
        <v/>
      </c>
      <c r="G5" s="41" t="n">
        <v>1</v>
      </c>
      <c r="H5" s="42">
        <f>G5*499</f>
        <v/>
      </c>
      <c r="I5" s="43" t="n">
        <v>0</v>
      </c>
      <c r="J5" s="43">
        <f>C5*0</f>
        <v/>
      </c>
      <c r="K5" s="43">
        <f>E5*0</f>
        <v/>
      </c>
      <c r="L5" s="43">
        <f>G5*0</f>
        <v/>
      </c>
    </row>
    <row r="6" ht="24" customHeight="1" s="27">
      <c r="A6" s="32" t="n">
        <v>2</v>
      </c>
      <c r="B6" s="40" t="inlineStr">
        <is>
          <t>Unlock Pro features of landing page</t>
        </is>
      </c>
      <c r="C6" s="41" t="n">
        <v>0</v>
      </c>
      <c r="D6" s="42">
        <f>C6*499</f>
        <v/>
      </c>
      <c r="E6" s="41" t="n">
        <v>1</v>
      </c>
      <c r="F6" s="42">
        <f>E6*499</f>
        <v/>
      </c>
      <c r="G6" s="41" t="n">
        <v>1</v>
      </c>
      <c r="H6" s="42">
        <f>G6*499</f>
        <v/>
      </c>
      <c r="I6" s="43" t="n">
        <v>0</v>
      </c>
      <c r="J6" s="43">
        <f>C6*0</f>
        <v/>
      </c>
      <c r="K6" s="43">
        <f>E6*0</f>
        <v/>
      </c>
      <c r="L6" s="43">
        <f>G6*0</f>
        <v/>
      </c>
    </row>
    <row r="7" ht="24" customHeight="1" s="27">
      <c r="A7" s="32" t="n">
        <v>3</v>
      </c>
      <c r="B7" s="40" t="inlineStr">
        <is>
          <t>Unlock personalized QR</t>
        </is>
      </c>
      <c r="C7" s="41" t="n">
        <v>1</v>
      </c>
      <c r="D7" s="42">
        <f>C7*499</f>
        <v/>
      </c>
      <c r="E7" s="41" t="n">
        <v>1</v>
      </c>
      <c r="F7" s="42">
        <f>E7*499</f>
        <v/>
      </c>
      <c r="G7" s="41" t="n">
        <v>1</v>
      </c>
      <c r="H7" s="42">
        <f>G7*499</f>
        <v/>
      </c>
      <c r="I7" s="43" t="n">
        <v>1</v>
      </c>
      <c r="J7" s="43">
        <f>C7*1</f>
        <v/>
      </c>
      <c r="K7" s="43">
        <f>E7*1</f>
        <v/>
      </c>
      <c r="L7" s="43">
        <f>G7*1</f>
        <v/>
      </c>
    </row>
    <row r="8" ht="24" customHeight="1" s="27">
      <c r="A8" s="32" t="n">
        <v>4</v>
      </c>
      <c r="B8" s="40" t="inlineStr">
        <is>
          <t>Unlock Papic (3 cams + system, no storage)</t>
        </is>
      </c>
      <c r="C8" s="41" t="n">
        <v>1</v>
      </c>
      <c r="D8" s="42">
        <f>C8*1999</f>
        <v/>
      </c>
      <c r="E8" s="41" t="n">
        <v>1</v>
      </c>
      <c r="F8" s="42">
        <f>E8*1999</f>
        <v/>
      </c>
      <c r="G8" s="41" t="n">
        <v>1</v>
      </c>
      <c r="H8" s="42">
        <f>G8*1999</f>
        <v/>
      </c>
      <c r="I8" s="43" t="n">
        <v>15</v>
      </c>
      <c r="J8" s="43">
        <f>C8*15</f>
        <v/>
      </c>
      <c r="K8" s="43">
        <f>E8*15</f>
        <v/>
      </c>
      <c r="L8" s="43">
        <f>G8*15</f>
        <v/>
      </c>
    </row>
    <row r="9" ht="24" customHeight="1" s="27">
      <c r="A9" s="32" t="n">
        <v>5</v>
      </c>
      <c r="B9" s="40" t="inlineStr">
        <is>
          <t>Event days — 1 day / 17 GB storage</t>
        </is>
      </c>
      <c r="C9" s="41" t="n">
        <v>1</v>
      </c>
      <c r="D9" s="42">
        <f>C9*499</f>
        <v/>
      </c>
      <c r="E9" s="41" t="n">
        <v>0</v>
      </c>
      <c r="F9" s="42">
        <f>E9*499</f>
        <v/>
      </c>
      <c r="G9" s="41" t="n">
        <v>0</v>
      </c>
      <c r="H9" s="42">
        <f>G9*499</f>
        <v/>
      </c>
      <c r="I9" s="43" t="n">
        <v>23</v>
      </c>
      <c r="J9" s="43">
        <f>C9*23</f>
        <v/>
      </c>
      <c r="K9" s="43">
        <f>E9*23</f>
        <v/>
      </c>
      <c r="L9" s="43">
        <f>G9*23</f>
        <v/>
      </c>
    </row>
    <row r="10" ht="24" customHeight="1" s="27">
      <c r="A10" s="32" t="n">
        <v>6</v>
      </c>
      <c r="B10" s="40" t="inlineStr">
        <is>
          <t>Event days — 7 days / 100 GB storage</t>
        </is>
      </c>
      <c r="C10" s="41" t="n">
        <v>0</v>
      </c>
      <c r="D10" s="42">
        <f>C10*2999</f>
        <v/>
      </c>
      <c r="E10" s="41" t="n">
        <v>1</v>
      </c>
      <c r="F10" s="42">
        <f>E10*2999</f>
        <v/>
      </c>
      <c r="G10" s="41" t="n">
        <v>0</v>
      </c>
      <c r="H10" s="42">
        <f>G10*2999</f>
        <v/>
      </c>
      <c r="I10" s="43" t="n">
        <v>135</v>
      </c>
      <c r="J10" s="43">
        <f>C10*135</f>
        <v/>
      </c>
      <c r="K10" s="43">
        <f>E10*135</f>
        <v/>
      </c>
      <c r="L10" s="43">
        <f>G10*135</f>
        <v/>
      </c>
    </row>
    <row r="11" ht="24" customHeight="1" s="27">
      <c r="A11" s="32" t="n">
        <v>7</v>
      </c>
      <c r="B11" s="40" t="inlineStr">
        <is>
          <t>Event days — 30 days / 500 GB storage</t>
        </is>
      </c>
      <c r="C11" s="41" t="n">
        <v>0</v>
      </c>
      <c r="D11" s="42">
        <f>C11*12999</f>
        <v/>
      </c>
      <c r="E11" s="41" t="n">
        <v>0</v>
      </c>
      <c r="F11" s="42">
        <f>E11*12999</f>
        <v/>
      </c>
      <c r="G11" s="41" t="n">
        <v>1</v>
      </c>
      <c r="H11" s="42">
        <f>G11*12999</f>
        <v/>
      </c>
      <c r="I11" s="43" t="n">
        <v>675</v>
      </c>
      <c r="J11" s="43">
        <f>C11*675</f>
        <v/>
      </c>
      <c r="K11" s="43">
        <f>E11*675</f>
        <v/>
      </c>
      <c r="L11" s="43">
        <f>G11*675</f>
        <v/>
      </c>
    </row>
    <row r="12" ht="24" customHeight="1" s="27">
      <c r="A12" s="32" t="n">
        <v>8</v>
      </c>
      <c r="B12" s="40" t="inlineStr">
        <is>
          <t>Reels maker (per reel)</t>
        </is>
      </c>
      <c r="C12" s="41" t="n">
        <v>30</v>
      </c>
      <c r="D12" s="42">
        <f>C12*99</f>
        <v/>
      </c>
      <c r="E12" s="41" t="n">
        <v>0</v>
      </c>
      <c r="F12" s="42">
        <f>E12*99</f>
        <v/>
      </c>
      <c r="G12" s="41" t="n">
        <v>0</v>
      </c>
      <c r="H12" s="42">
        <f>G12*99</f>
        <v/>
      </c>
      <c r="I12" s="43" t="n">
        <v>1</v>
      </c>
      <c r="J12" s="43">
        <f>C12*1</f>
        <v/>
      </c>
      <c r="K12" s="43">
        <f>E12*1</f>
        <v/>
      </c>
      <c r="L12" s="43">
        <f>G12*1</f>
        <v/>
      </c>
    </row>
    <row r="13" ht="24" customHeight="1" s="27">
      <c r="A13" s="32" t="n">
        <v>9</v>
      </c>
      <c r="B13" s="40" t="inlineStr">
        <is>
          <t>Reels maker (200-reel bundle)</t>
        </is>
      </c>
      <c r="C13" s="41" t="n">
        <v>0</v>
      </c>
      <c r="D13" s="42">
        <f>C13*8999</f>
        <v/>
      </c>
      <c r="E13" s="41" t="n">
        <v>0</v>
      </c>
      <c r="F13" s="42">
        <f>E13*8999</f>
        <v/>
      </c>
      <c r="G13" s="41" t="n">
        <v>1</v>
      </c>
      <c r="H13" s="42">
        <f>G13*8999</f>
        <v/>
      </c>
      <c r="I13" s="43" t="n">
        <v>200</v>
      </c>
      <c r="J13" s="43">
        <f>C13*200</f>
        <v/>
      </c>
      <c r="K13" s="43">
        <f>E13*200</f>
        <v/>
      </c>
      <c r="L13" s="43">
        <f>G13*200</f>
        <v/>
      </c>
    </row>
    <row r="14" ht="24" customHeight="1" s="27">
      <c r="A14" s="32" t="n">
        <v>10</v>
      </c>
      <c r="B14" s="40" t="inlineStr">
        <is>
          <t>Reels maker — extra reels @ ₱99</t>
        </is>
      </c>
      <c r="C14" s="41" t="n">
        <v>0</v>
      </c>
      <c r="D14" s="42">
        <f>C14*99</f>
        <v/>
      </c>
      <c r="E14" s="41" t="n">
        <v>50</v>
      </c>
      <c r="F14" s="42">
        <f>E14*99</f>
        <v/>
      </c>
      <c r="G14" s="41" t="n">
        <v>0</v>
      </c>
      <c r="H14" s="42">
        <f>G14*99</f>
        <v/>
      </c>
      <c r="I14" s="43" t="n">
        <v>1</v>
      </c>
      <c r="J14" s="43">
        <f>C14*1</f>
        <v/>
      </c>
      <c r="K14" s="43">
        <f>E14*1</f>
        <v/>
      </c>
      <c r="L14" s="43">
        <f>G14*1</f>
        <v/>
      </c>
    </row>
    <row r="15" ht="24" customHeight="1" s="27">
      <c r="A15" s="32" t="n">
        <v>11</v>
      </c>
      <c r="B15" s="40" t="inlineStr">
        <is>
          <t>Unlock Live Stream base (3 cams, 3 hrs)</t>
        </is>
      </c>
      <c r="C15" s="41" t="n">
        <v>0</v>
      </c>
      <c r="D15" s="42">
        <f>C15*2999</f>
        <v/>
      </c>
      <c r="E15" s="41" t="n">
        <v>1</v>
      </c>
      <c r="F15" s="42">
        <f>E15*2999</f>
        <v/>
      </c>
      <c r="G15" s="41" t="n">
        <v>1</v>
      </c>
      <c r="H15" s="42">
        <f>G15*2999</f>
        <v/>
      </c>
      <c r="I15" s="43" t="n">
        <v>120</v>
      </c>
      <c r="J15" s="43">
        <f>C15*120</f>
        <v/>
      </c>
      <c r="K15" s="43">
        <f>E15*120</f>
        <v/>
      </c>
      <c r="L15" s="43">
        <f>G15*120</f>
        <v/>
      </c>
    </row>
    <row r="16" ht="24" customHeight="1" s="27">
      <c r="A16" s="32" t="n">
        <v>12</v>
      </c>
      <c r="B16" s="40" t="inlineStr">
        <is>
          <t>Live Stream — additional hour</t>
        </is>
      </c>
      <c r="C16" s="41" t="n">
        <v>0</v>
      </c>
      <c r="D16" s="42">
        <f>C16*799</f>
        <v/>
      </c>
      <c r="E16" s="41" t="n">
        <v>2</v>
      </c>
      <c r="F16" s="42">
        <f>E16*799</f>
        <v/>
      </c>
      <c r="G16" s="41" t="n">
        <v>5</v>
      </c>
      <c r="H16" s="42">
        <f>G16*799</f>
        <v/>
      </c>
      <c r="I16" s="43" t="n">
        <v>50</v>
      </c>
      <c r="J16" s="43">
        <f>C16*50</f>
        <v/>
      </c>
      <c r="K16" s="43">
        <f>E16*50</f>
        <v/>
      </c>
      <c r="L16" s="43">
        <f>G16*50</f>
        <v/>
      </c>
    </row>
    <row r="17" ht="24" customHeight="1" s="27">
      <c r="A17" s="32" t="n">
        <v>13</v>
      </c>
      <c r="B17" s="40" t="inlineStr">
        <is>
          <t>Live Stream — additional camera-hour</t>
        </is>
      </c>
      <c r="C17" s="41" t="n">
        <v>0</v>
      </c>
      <c r="D17" s="42">
        <f>C17*199</f>
        <v/>
      </c>
      <c r="E17" s="41" t="n">
        <v>0</v>
      </c>
      <c r="F17" s="42">
        <f>E17*199</f>
        <v/>
      </c>
      <c r="G17" s="41" t="n">
        <v>10</v>
      </c>
      <c r="H17" s="42">
        <f>G17*199</f>
        <v/>
      </c>
      <c r="I17" s="43" t="n">
        <v>30</v>
      </c>
      <c r="J17" s="43">
        <f>C17*30</f>
        <v/>
      </c>
      <c r="K17" s="43">
        <f>E17*30</f>
        <v/>
      </c>
      <c r="L17" s="43">
        <f>G17*30</f>
        <v/>
      </c>
    </row>
    <row r="18" ht="24" customHeight="1" s="27">
      <c r="A18" s="32" t="n">
        <v>14</v>
      </c>
      <c r="B18" s="40" t="inlineStr">
        <is>
          <t>SLR Sync — Papic and/or Live Stream (per cam)</t>
        </is>
      </c>
      <c r="C18" s="41" t="n">
        <v>0</v>
      </c>
      <c r="D18" s="42">
        <f>C18*99</f>
        <v/>
      </c>
      <c r="E18" s="41" t="n">
        <v>1</v>
      </c>
      <c r="F18" s="42">
        <f>E18*99</f>
        <v/>
      </c>
      <c r="G18" s="41" t="n">
        <v>3</v>
      </c>
      <c r="H18" s="42">
        <f>G18*99</f>
        <v/>
      </c>
      <c r="I18" s="43" t="n">
        <v>0</v>
      </c>
      <c r="J18" s="43">
        <f>C18*0</f>
        <v/>
      </c>
      <c r="K18" s="43">
        <f>E18*0</f>
        <v/>
      </c>
      <c r="L18" s="43">
        <f>G18*0</f>
        <v/>
      </c>
    </row>
    <row r="19" ht="24" customHeight="1" s="27">
      <c r="A19" s="32" t="n">
        <v>15</v>
      </c>
      <c r="B19" s="40" t="inlineStr">
        <is>
          <t>AI Video Highlight (60s)</t>
        </is>
      </c>
      <c r="C19" s="41" t="n">
        <v>0</v>
      </c>
      <c r="D19" s="42">
        <f>C19*2500</f>
        <v/>
      </c>
      <c r="E19" s="41" t="n">
        <v>1</v>
      </c>
      <c r="F19" s="42">
        <f>E19*2500</f>
        <v/>
      </c>
      <c r="G19" s="41" t="n">
        <v>2</v>
      </c>
      <c r="H19" s="42">
        <f>G19*2500</f>
        <v/>
      </c>
      <c r="I19" s="43" t="n">
        <v>10</v>
      </c>
      <c r="J19" s="43">
        <f>C19*10</f>
        <v/>
      </c>
      <c r="K19" s="43">
        <f>E19*10</f>
        <v/>
      </c>
      <c r="L19" s="43">
        <f>G19*10</f>
        <v/>
      </c>
    </row>
    <row r="20" ht="24" customHeight="1" s="27">
      <c r="A20" s="32" t="n">
        <v>16</v>
      </c>
      <c r="B20" s="40" t="inlineStr">
        <is>
          <t>AI Edited Highlight (3-min)</t>
        </is>
      </c>
      <c r="C20" s="41" t="n">
        <v>0</v>
      </c>
      <c r="D20" s="42">
        <f>C20*6000</f>
        <v/>
      </c>
      <c r="E20" s="41" t="n">
        <v>0</v>
      </c>
      <c r="F20" s="42">
        <f>E20*6000</f>
        <v/>
      </c>
      <c r="G20" s="41" t="n">
        <v>1</v>
      </c>
      <c r="H20" s="42">
        <f>G20*6000</f>
        <v/>
      </c>
      <c r="I20" s="43" t="n">
        <v>30</v>
      </c>
      <c r="J20" s="43">
        <f>C20*30</f>
        <v/>
      </c>
      <c r="K20" s="43">
        <f>E20*30</f>
        <v/>
      </c>
      <c r="L20" s="43">
        <f>G20*30</f>
        <v/>
      </c>
    </row>
    <row r="21" ht="24" customHeight="1" s="27">
      <c r="A21" s="32" t="n">
        <v>17</v>
      </c>
      <c r="B21" s="40" t="inlineStr">
        <is>
          <t>Custom Monogram Pack</t>
        </is>
      </c>
      <c r="C21" s="41" t="n">
        <v>0</v>
      </c>
      <c r="D21" s="42">
        <f>C21*2500</f>
        <v/>
      </c>
      <c r="E21" s="41" t="n">
        <v>1</v>
      </c>
      <c r="F21" s="42">
        <f>E21*2500</f>
        <v/>
      </c>
      <c r="G21" s="41" t="n">
        <v>1</v>
      </c>
      <c r="H21" s="42">
        <f>G21*2500</f>
        <v/>
      </c>
      <c r="I21" s="43" t="n">
        <v>5</v>
      </c>
      <c r="J21" s="43">
        <f>C21*5</f>
        <v/>
      </c>
      <c r="K21" s="43">
        <f>E21*5</f>
        <v/>
      </c>
      <c r="L21" s="43">
        <f>G21*5</f>
        <v/>
      </c>
    </row>
    <row r="22" ht="24" customHeight="1" s="27">
      <c r="A22" s="32" t="n">
        <v>18</v>
      </c>
      <c r="B22" s="40" t="inlineStr">
        <is>
          <t>Broadcast Style Pack</t>
        </is>
      </c>
      <c r="C22" s="41" t="n">
        <v>0</v>
      </c>
      <c r="D22" s="42">
        <f>C22*3500</f>
        <v/>
      </c>
      <c r="E22" s="41" t="n">
        <v>0</v>
      </c>
      <c r="F22" s="42">
        <f>E22*3500</f>
        <v/>
      </c>
      <c r="G22" s="41" t="n">
        <v>1</v>
      </c>
      <c r="H22" s="42">
        <f>G22*3500</f>
        <v/>
      </c>
      <c r="I22" s="43" t="n">
        <v>5</v>
      </c>
      <c r="J22" s="43">
        <f>C22*5</f>
        <v/>
      </c>
      <c r="K22" s="43">
        <f>E22*5</f>
        <v/>
      </c>
      <c r="L22" s="43">
        <f>G22*5</f>
        <v/>
      </c>
    </row>
    <row r="23" ht="24" customHeight="1" s="27">
      <c r="A23" s="32" t="n">
        <v>19</v>
      </c>
      <c r="B23" s="40" t="inlineStr">
        <is>
          <t>Event-end curation + 30-day download</t>
        </is>
      </c>
      <c r="C23" s="41" t="n">
        <v>1</v>
      </c>
      <c r="D23" s="42">
        <f>C23*0</f>
        <v/>
      </c>
      <c r="E23" s="41" t="n">
        <v>1</v>
      </c>
      <c r="F23" s="42">
        <f>E23*0</f>
        <v/>
      </c>
      <c r="G23" s="41" t="n">
        <v>1</v>
      </c>
      <c r="H23" s="42">
        <f>G23*0</f>
        <v/>
      </c>
      <c r="I23" s="43" t="n">
        <v>10</v>
      </c>
      <c r="J23" s="43">
        <f>C23*10</f>
        <v/>
      </c>
      <c r="K23" s="43">
        <f>E23*10</f>
        <v/>
      </c>
      <c r="L23" s="43">
        <f>G23*10</f>
        <v/>
      </c>
    </row>
    <row r="24" ht="24" customHeight="1" s="27">
      <c r="A24" s="32" t="n">
        <v>20</v>
      </c>
      <c r="B24" s="40" t="inlineStr">
        <is>
          <t>Video Dedication (per 100-dedication block)</t>
        </is>
      </c>
      <c r="C24" s="41" t="n">
        <v>0</v>
      </c>
      <c r="D24" s="42">
        <f>C24*299</f>
        <v/>
      </c>
      <c r="E24" s="41" t="n">
        <v>1</v>
      </c>
      <c r="F24" s="42">
        <f>E24*299</f>
        <v/>
      </c>
      <c r="G24" s="41" t="n">
        <v>5</v>
      </c>
      <c r="H24" s="42">
        <f>G24*299</f>
        <v/>
      </c>
      <c r="I24" s="43" t="n">
        <v>10</v>
      </c>
      <c r="J24" s="43">
        <f>C24*10</f>
        <v/>
      </c>
      <c r="K24" s="43">
        <f>E24*10</f>
        <v/>
      </c>
      <c r="L24" s="43">
        <f>G24*10</f>
        <v/>
      </c>
    </row>
    <row r="25" ht="24" customHeight="1" s="27">
      <c r="A25" s="32" t="n">
        <v>21</v>
      </c>
      <c r="B25" s="40" t="inlineStr">
        <is>
          <t>4K Upgrade (toggle all video to 4K)</t>
        </is>
      </c>
      <c r="C25" s="41" t="n">
        <v>0</v>
      </c>
      <c r="D25" s="42">
        <f>C25*1499</f>
        <v/>
      </c>
      <c r="E25" s="41" t="n">
        <v>0</v>
      </c>
      <c r="F25" s="42">
        <f>E25*1499</f>
        <v/>
      </c>
      <c r="G25" s="41" t="n">
        <v>1</v>
      </c>
      <c r="H25" s="42">
        <f>G25*1499</f>
        <v/>
      </c>
      <c r="I25" s="43" t="n">
        <v>450</v>
      </c>
      <c r="J25" s="43">
        <f>C25*450</f>
        <v/>
      </c>
      <c r="K25" s="43">
        <f>E25*450</f>
        <v/>
      </c>
      <c r="L25" s="43">
        <f>G25*450</f>
        <v/>
      </c>
    </row>
    <row r="26"/>
    <row r="27" ht="30" customHeight="1" s="27">
      <c r="B27" s="44" t="inlineStr">
        <is>
          <t>REVENUE / COST TOTAL</t>
        </is>
      </c>
      <c r="D27" s="45">
        <f>SUM(D5:D25)</f>
        <v/>
      </c>
      <c r="F27" s="45">
        <f>SUM(F5:F25)</f>
        <v/>
      </c>
      <c r="H27" s="45">
        <f>SUM(H5:H25)</f>
        <v/>
      </c>
      <c r="J27" s="45">
        <f>SUM(J5:J25)</f>
        <v/>
      </c>
      <c r="K27" s="45">
        <f>SUM(K5:K25)</f>
        <v/>
      </c>
      <c r="L27" s="45">
        <f>SUM(L5:L25)</f>
        <v/>
      </c>
    </row>
    <row r="28" ht="15" customHeight="1" s="27">
      <c r="B28" s="44" t="inlineStr">
        <is>
          <t>MARGIN (revenue − cost)</t>
        </is>
      </c>
      <c r="D28" s="45">
        <f>D27-J27</f>
        <v/>
      </c>
      <c r="F28" s="45">
        <f>F27-K27</f>
        <v/>
      </c>
      <c r="H28" s="45">
        <f>H27-L27</f>
        <v/>
      </c>
    </row>
    <row r="29" ht="15" customHeight="1" s="27">
      <c r="B29" s="44" t="inlineStr">
        <is>
          <t>MARGIN %</t>
        </is>
      </c>
      <c r="D29" s="46">
        <f>D28/D27</f>
        <v/>
      </c>
      <c r="F29" s="46">
        <f>F28/F27</f>
        <v/>
      </c>
      <c r="H29" s="46">
        <f>H28/H27</f>
        <v/>
      </c>
    </row>
    <row r="30"/>
    <row r="31"/>
    <row r="32" ht="24" customHeight="1" s="27">
      <c r="A32" s="47" t="inlineStr">
        <is>
          <t>Profile descriptions</t>
        </is>
      </c>
    </row>
    <row r="33" ht="39.75" customHeight="1" s="27">
      <c r="A33" s="48" t="inlineStr">
        <is>
          <t>A. Basic: Couple wants invitations + photos only. Basic landing page + Personalize QR + Papic 3 seats + 1-day event pack + 30 reels à la carte. No Live Stream, no Pro landing features.</t>
        </is>
      </c>
    </row>
    <row r="34" ht="39.75" customHeight="1" s="27">
      <c r="A34" s="48" t="inlineStr">
        <is>
          <t>B. Premium: Mid-tier. Basic + Pro landing page. Papic with 7-day event pack (multi-day events) + 50 reels. Live Stream Base + 2 extra hours + 1 DSLR. 1 AI Video Highlight + Custom Monogram.</t>
        </is>
      </c>
    </row>
    <row r="35" ht="39.75" customHeight="1" s="27">
      <c r="A35" s="48" t="inlineStr">
        <is>
          <t>C. All-In: Luxury tier. Full landing + Papic with 30-day event pack + 200-reel bundle. Live Stream Base + 5 extra hours + 10 extra cam-hours + 3 DSLR pairings. 2 AI Video + 1 AI Edited Highlight + Custom Monogram + Broadcast Style Pack.</t>
        </is>
      </c>
    </row>
  </sheetData>
  <mergeCells count="10">
    <mergeCell ref="A2:L2"/>
    <mergeCell ref="G3:H3"/>
    <mergeCell ref="A33:L33"/>
    <mergeCell ref="A1:L1"/>
    <mergeCell ref="A32:L32"/>
    <mergeCell ref="E3:F3"/>
    <mergeCell ref="C3:D3"/>
    <mergeCell ref="J3:L3"/>
    <mergeCell ref="A34:L34"/>
    <mergeCell ref="A35:L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26" min="1" max="1"/>
  </cols>
  <sheetData>
    <row r="1" ht="31.5" customHeight="1" s="27">
      <c r="A1" s="28" t="inlineStr">
        <is>
          <t>Cost assumptions and pricing notes</t>
        </is>
      </c>
    </row>
    <row r="2" ht="18" customHeight="1" s="27">
      <c r="A2" s="49" t="n"/>
    </row>
    <row r="3" ht="18" customHeight="1" s="27">
      <c r="A3" s="50" t="inlineStr">
        <is>
          <t>■ Pricing structure (decided 2026-05-11):</t>
        </is>
      </c>
    </row>
    <row r="4" ht="18" customHeight="1" s="27">
      <c r="A4" s="51" t="inlineStr">
        <is>
          <t xml:space="preserve">    Landing page basic ₱499 / Landing page Pro ₱499 / Personalize QR ₱499 — each unlock lasts 1 year, renewable ₱499/yr.</t>
        </is>
      </c>
    </row>
    <row r="5" ht="18" customHeight="1" s="27">
      <c r="A5" s="51" t="inlineStr">
        <is>
          <t xml:space="preserve">    Personalize QR is the GATEWAY — couples must unlock this to connect Papic and Live Stream to their event.</t>
        </is>
      </c>
    </row>
    <row r="6" ht="18" customHeight="1" s="27">
      <c r="A6" s="49" t="n"/>
    </row>
    <row r="7" ht="18" customHeight="1" s="27">
      <c r="A7" s="50" t="inlineStr">
        <is>
          <t>■ Live Stream: ₱2,999 base unlock includes 3 cameras + 3 hours of streaming + free HDMI output cast.</t>
        </is>
      </c>
    </row>
    <row r="8" ht="18" customHeight="1" s="27">
      <c r="A8" s="51" t="inlineStr">
        <is>
          <t xml:space="preserve">    Beyond the included 3 hours: ₱799/hour. Beyond the included 3 cameras: ₱199/camera-hour.</t>
        </is>
      </c>
    </row>
    <row r="9" ht="18" customHeight="1" s="27">
      <c r="A9" s="51" t="inlineStr">
        <is>
          <t xml:space="preserve">    SLR feature (DSLR pairing per camera): ₱99/cam. Used to be ₱1,800 — dropped 95% to broaden adoption.</t>
        </is>
      </c>
    </row>
    <row r="10" ht="18" customHeight="1" s="27">
      <c r="A10" s="51" t="inlineStr">
        <is>
          <t xml:space="preserve">    Streaming meter starts when broadcaster taps GO LIVE, or HDMI cast starts, or YouTube URL receives first viewer.</t>
        </is>
      </c>
    </row>
    <row r="11" ht="18" customHeight="1" s="27">
      <c r="A11" s="51" t="inlineStr">
        <is>
          <t xml:space="preserve">    Auto-pause after 30 mins of no inbound video — protects couples from accidental overcharges.</t>
        </is>
      </c>
    </row>
    <row r="12" ht="18" customHeight="1" s="27">
      <c r="A12" s="49" t="n"/>
    </row>
    <row r="13" ht="18" customHeight="1" s="27">
      <c r="A13" s="50" t="inlineStr">
        <is>
          <t>■ Papic: ₱1,999 base unlock includes 3 cameras. Plus event-day pack: 1 day ₱299 / 7 days ₱1,999 / 30 days ₱7,999.</t>
        </is>
      </c>
    </row>
    <row r="14" ht="18" customHeight="1" s="27">
      <c r="A14" s="51" t="inlineStr">
        <is>
          <t xml:space="preserve">    5,000 photos + 500 clips per event. Couples encouraged to shoot more 5-sec clips for same-day-edit reels.</t>
        </is>
      </c>
    </row>
    <row r="15" ht="18" customHeight="1" s="27">
      <c r="A15" s="51" t="inlineStr">
        <is>
          <t xml:space="preserve">    Daily Drive transfer auto-syncs photos to couple's Google Drive. R2 retention dropped to 90 days (was 5 years).</t>
        </is>
      </c>
    </row>
    <row r="16" ht="18" customHeight="1" s="27">
      <c r="A16" s="51" t="inlineStr">
        <is>
          <t xml:space="preserve">    Couple keeps the originals via Drive — Setnayan's R2 copy expires at 90 days, costs less long-term.</t>
        </is>
      </c>
    </row>
    <row r="17" ht="18" customHeight="1" s="27">
      <c r="A17" s="49" t="n"/>
    </row>
    <row r="18" ht="18" customHeight="1" s="27">
      <c r="A18" s="50" t="inlineStr">
        <is>
          <t>■ Reels maker: ₱99 per reel à la carte. Or ₱8,999 for 200-reel bundle. Additional reels beyond 200 = ₱49 each.</t>
        </is>
      </c>
    </row>
    <row r="19" ht="18" customHeight="1" s="27">
      <c r="A19" s="51" t="inlineStr">
        <is>
          <t xml:space="preserve">    Most weddings render 30-50 reels (one per tagged guest typically). 200-reel bundle is for luxury/large weddings.</t>
        </is>
      </c>
    </row>
    <row r="20" ht="18" customHeight="1" s="27">
      <c r="A20" s="49" t="n"/>
    </row>
    <row r="21" ht="18" customHeight="1" s="27">
      <c r="A21" s="50" t="inlineStr">
        <is>
          <t>■ Setnayan cost basis (per CLAUDE.md cheat sheet + my estimates):</t>
        </is>
      </c>
    </row>
    <row r="22" ht="18" customHeight="1" s="27">
      <c r="A22" s="51" t="inlineStr">
        <is>
          <t xml:space="preserve">    Pure software margin SKUs (landing page, QR gateway, monogram, broadcast style): ₱0-5 per unit.</t>
        </is>
      </c>
    </row>
    <row r="23" ht="18" customHeight="1" s="27">
      <c r="A23" s="51" t="inlineStr">
        <is>
          <t xml:space="preserve">    Compute-bearing SKUs (LS hour, AI Highlight, reels render, Drive transfer): real per-use costs ₱2-50.</t>
        </is>
      </c>
    </row>
    <row r="24" ht="18" customHeight="1" s="27">
      <c r="A24" s="51" t="inlineStr">
        <is>
          <t xml:space="preserve">    Storage-bearing SKUs (Papic seats + event days): R2 storage + bandwidth, ₱10-330 per event window.</t>
        </is>
      </c>
    </row>
    <row r="25" ht="18" customHeight="1" s="27">
      <c r="A25" s="51" t="inlineStr">
        <is>
          <t xml:space="preserve">    Aggregate across all SKUs: ~95-97% blended margin, consistent with the apparatus-pricing rule.</t>
        </is>
      </c>
    </row>
    <row r="26" ht="18" customHeight="1" s="27">
      <c r="A26" s="49" t="n"/>
    </row>
    <row r="27" ht="18" customHeight="1" s="27">
      <c r="A27" s="50" t="inlineStr">
        <is>
          <t>■ What's NOT included in the scenarios above:</t>
        </is>
      </c>
    </row>
    <row r="28" ht="18" customHeight="1" s="27">
      <c r="A28" s="51" t="inlineStr">
        <is>
          <t xml:space="preserve">    Setnayan Premium subscription (₱79/wk or ₱599 quarterly upfront) — couples can layer this on top of any scenario for AI Albums + Atelier + Voice Guestbook + Assisted Vendor Search.</t>
        </is>
      </c>
    </row>
    <row r="29" ht="18" customHeight="1" s="27">
      <c r="A29" s="51" t="inlineStr">
        <is>
          <t xml:space="preserve">    Physical goods (Photo Books, NFC pieces, QR cards, arras coins) — paid from day 1; not modeled here because volume varies.</t>
        </is>
      </c>
    </row>
    <row r="30" ht="18" customHeight="1" s="27">
      <c r="A30" s="51" t="inlineStr">
        <is>
          <t xml:space="preserve">    Vendor and planner subscriptions — analyzed separately in the slider prototype.</t>
        </is>
      </c>
    </row>
    <row r="31" ht="18" customHeight="1" s="27">
      <c r="A31" s="49" t="n"/>
    </row>
    <row r="32" ht="18" customHeight="1" s="27">
      <c r="A32" s="50" t="inlineStr">
        <is>
          <t>■ Margin reality check (revised 2026-05-11 — packs are STORAGE tiers, not just time):</t>
        </is>
      </c>
    </row>
    <row r="33" ht="18" customHeight="1" s="27">
      <c r="A33" s="51" t="inlineStr">
        <is>
          <t xml:space="preserve">    Event-day packs are storage limits: 1 day = 17 GB / 7 days = 100 GB / 30 days = 500 GB.</t>
        </is>
      </c>
    </row>
    <row r="34" ht="18" customHeight="1" s="27">
      <c r="A34" s="51" t="inlineStr">
        <is>
          <t xml:space="preserve">    Real storage cost (R2 × 90-day retention): ₱42 / ₱252 / ₱1,260 per pack.</t>
        </is>
      </c>
    </row>
    <row r="35" ht="18" customHeight="1" s="27">
      <c r="A35" s="51" t="inlineStr">
        <is>
          <t xml:space="preserve">    Papic base unlock is now JUST the infrastructure (₱15 cost) — storage moved into event-day packs.</t>
        </is>
      </c>
    </row>
    <row r="36" ht="18" customHeight="1" s="27">
      <c r="A36" s="51" t="inlineStr">
        <is>
          <t xml:space="preserve">    Per-pack margins: 1-day 86%, 7-day 87%, 30-day 84%. Still very healthy; storage is the floor.</t>
        </is>
      </c>
    </row>
    <row r="37" ht="18" customHeight="1" s="27">
      <c r="A37" s="51" t="inlineStr">
        <is>
          <t xml:space="preserve">    Other cost revisions: QR ₱5→₱1, SLR ₱5→₱0, reels ₱2→₱1, Drive ₱5→₱2/day.</t>
        </is>
      </c>
    </row>
    <row r="38" ht="18" customHeight="1" s="27">
      <c r="A38" s="51" t="inlineStr">
        <is>
          <t xml:space="preserve">    Storage overage ₱99/GB at 99% margin (₱1/GB real cost) is a strong revenue lever for couples who exceed cap.</t>
        </is>
      </c>
    </row>
    <row r="39" ht="18" customHeight="1" s="27">
      <c r="A39" s="49" t="n"/>
    </row>
    <row r="40" ht="18" customHeight="1" s="27">
      <c r="A40" s="50" t="inlineStr">
        <is>
          <t>■ PayMongo fee impact (not modeled above):</t>
        </is>
      </c>
    </row>
    <row r="41" ht="18" customHeight="1" s="27">
      <c r="A41" s="51" t="inlineStr">
        <is>
          <t xml:space="preserve">    ~3.5% on card transactions only. Bank-transfer + GCash payments are free for Setnayan (per apply-then-pay flow memory).</t>
        </is>
      </c>
    </row>
    <row r="42" ht="18" customHeight="1" s="27">
      <c r="A42" s="51" t="inlineStr">
        <is>
          <t xml:space="preserve">    Effective net margin after PayMongo ≈ 92-94% on card-paid customers, ~96-97% on bank-transfer customers.</t>
        </is>
      </c>
    </row>
    <row r="43" ht="18" customHeight="1" s="27">
      <c r="A43" s="49" t="n"/>
    </row>
    <row r="44" ht="18" customHeight="1" s="27">
      <c r="A44" s="50" t="inlineStr">
        <is>
          <t>■ Operational cost not modeled:</t>
        </is>
      </c>
    </row>
    <row r="45" ht="18" customHeight="1" s="27">
      <c r="A45" s="51" t="inlineStr">
        <is>
          <t xml:space="preserve">    Setnayan Team manual payment confirmation: ~₱5-10 per application (apply-then-pay flow memory). At 1,000 applications/month = ~₱10K/month support cost.</t>
        </is>
      </c>
    </row>
    <row r="46" ht="18" customHeight="1" s="27">
      <c r="A46" s="51" t="inlineStr">
        <is>
          <t xml:space="preserve">    Customer support, marketing, salaries, infrastructure overhead — all separate from per-SKU costs above.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2026-05-11T06:02:02Z</dcterms:created>
  <dcterms:modified xmlns:dcterms="http://purl.org/dc/terms/" xmlns:xsi="http://www.w3.org/2001/XMLSchema-instance" xsi:type="dcterms:W3CDTF">2026-05-12T11:26:12Z</dcterms:modified>
  <cp:revision>0</cp:revision>
</cp:coreProperties>
</file>