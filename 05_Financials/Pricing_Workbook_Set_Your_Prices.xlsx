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nsumer Features" sheetId="1" state="visible" r:id="rId1"/>
    <sheet xmlns:r="http://schemas.openxmlformats.org/officeDocument/2006/relationships" name="Vendor Features" sheetId="2" state="visible" r:id="rId2"/>
    <sheet xmlns:r="http://schemas.openxmlformats.org/officeDocument/2006/relationships" name="Pricing Model" sheetId="3" state="visible" r:id="rId3"/>
    <sheet xmlns:r="http://schemas.openxmlformats.org/officeDocument/2006/relationships" name="Cost Note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₱#,##0.00;[RED]&quot;₱(&quot;#,##0.00\);\—"/>
    <numFmt numFmtId="165" formatCode="0.0%;[RED]\(0.0%\);\—"/>
    <numFmt numFmtId="166" formatCode="\₱#,##0;[RED]&quot;₱(&quot;#,##0\);\—"/>
    <numFmt numFmtId="167" formatCode="#,##0;[RED]\(#,##0\);\—"/>
    <numFmt numFmtId="168" formatCode="\₱0.0000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11827"/>
      <sz val="18"/>
    </font>
    <font>
      <name val="Arial"/>
      <charset val="1"/>
      <family val="0"/>
      <i val="1"/>
      <color rgb="FF6B728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11827"/>
      <sz val="11"/>
    </font>
    <font>
      <name val="Arial"/>
      <charset val="1"/>
      <family val="0"/>
      <color rgb="FF111827"/>
      <sz val="11"/>
    </font>
    <font>
      <name val="Arial"/>
      <charset val="1"/>
      <family val="0"/>
      <b val="1"/>
      <color rgb="FF5B21B6"/>
      <sz val="10"/>
    </font>
    <font>
      <name val="Arial"/>
      <charset val="1"/>
      <family val="0"/>
      <b val="1"/>
      <color rgb="FF0000FF"/>
      <sz val="11"/>
    </font>
    <font>
      <name val="Arial"/>
      <charset val="1"/>
      <family val="0"/>
      <color rgb="FF000000"/>
      <sz val="11"/>
    </font>
    <font>
      <name val="Arial"/>
      <charset val="1"/>
      <family val="0"/>
      <color rgb="FF6B7280"/>
      <sz val="10"/>
    </font>
    <font>
      <name val="Arial"/>
      <charset val="1"/>
      <family val="0"/>
      <b val="1"/>
      <color rgb="FF065F46"/>
      <sz val="10"/>
    </font>
    <font>
      <name val="Arial"/>
      <charset val="1"/>
      <family val="0"/>
      <b val="1"/>
      <color rgb="FF92400E"/>
      <sz val="10"/>
    </font>
    <font>
      <name val="Arial"/>
      <charset val="1"/>
      <family val="0"/>
      <b val="1"/>
      <color rgb="FF1D4ED8"/>
      <sz val="10"/>
    </font>
    <font>
      <name val="Arial"/>
      <charset val="1"/>
      <family val="0"/>
      <b val="1"/>
      <color rgb="FF4B5563"/>
      <sz val="10"/>
    </font>
    <font>
      <name val="Arial"/>
      <charset val="1"/>
      <family val="0"/>
      <b val="1"/>
      <color rgb="FF6B7280"/>
      <sz val="10"/>
    </font>
    <font>
      <name val="Arial"/>
      <charset val="1"/>
      <family val="0"/>
      <b val="1"/>
      <color rgb="FF111827"/>
      <sz val="10"/>
    </font>
    <font>
      <name val="Arial"/>
      <charset val="1"/>
      <family val="0"/>
      <b val="1"/>
      <color rgb="FF6D28D9"/>
      <sz val="10"/>
    </font>
    <font>
      <name val="Arial"/>
      <charset val="1"/>
      <family val="0"/>
      <b val="1"/>
      <color rgb="FF111827"/>
      <sz val="12"/>
    </font>
    <font>
      <name val="Arial"/>
      <charset val="1"/>
      <family val="0"/>
      <color rgb="FF374151"/>
      <sz val="10"/>
    </font>
  </fonts>
  <fills count="11">
    <fill>
      <patternFill/>
    </fill>
    <fill>
      <patternFill patternType="gray125"/>
    </fill>
    <fill>
      <patternFill patternType="solid">
        <fgColor rgb="FF111827"/>
        <bgColor rgb="FF000000"/>
      </patternFill>
    </fill>
    <fill>
      <patternFill patternType="solid">
        <fgColor rgb="FF374151"/>
        <bgColor rgb="FF4B5563"/>
      </patternFill>
    </fill>
    <fill>
      <patternFill patternType="solid">
        <fgColor rgb="FFEDE9FE"/>
        <bgColor rgb="FFF3F4F6"/>
      </patternFill>
    </fill>
    <fill>
      <patternFill patternType="solid">
        <fgColor rgb="FFFFFACD"/>
        <bgColor rgb="FFFEF3C7"/>
      </patternFill>
    </fill>
    <fill>
      <patternFill patternType="solid">
        <fgColor rgb="FFDCFCE7"/>
        <bgColor rgb="FFF3F4F6"/>
      </patternFill>
    </fill>
    <fill>
      <patternFill patternType="solid">
        <fgColor rgb="FFFEF3C7"/>
        <bgColor rgb="FFFFFACD"/>
      </patternFill>
    </fill>
    <fill>
      <patternFill patternType="solid">
        <fgColor rgb="FFDBEAFE"/>
        <bgColor rgb="FFEDE9FE"/>
      </patternFill>
    </fill>
    <fill>
      <patternFill patternType="solid">
        <fgColor rgb="FFF3F4F6"/>
        <bgColor rgb="FFF9FAFB"/>
      </patternFill>
    </fill>
    <fill>
      <patternFill patternType="solid">
        <fgColor rgb="FFF9FAFB"/>
        <bgColor rgb="FFFFFFFF"/>
      </patternFill>
    </fill>
  </fills>
  <borders count="6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top" wrapText="1"/>
    </xf>
    <xf numFmtId="0" fontId="13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top" wrapText="1"/>
    </xf>
    <xf numFmtId="0" fontId="9" fillId="4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center" vertical="center" wrapText="1"/>
    </xf>
    <xf numFmtId="0" fontId="17" fillId="10" borderId="0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right" vertical="center"/>
    </xf>
    <xf numFmtId="9" fontId="11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166" fontId="10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right" vertical="center"/>
    </xf>
    <xf numFmtId="168" fontId="11" fillId="0" borderId="1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top" wrapText="1"/>
    </xf>
    <xf numFmtId="0" fontId="13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top" wrapText="1"/>
    </xf>
    <xf numFmtId="0" fontId="9" fillId="4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center" vertical="center" wrapText="1"/>
    </xf>
    <xf numFmtId="0" fontId="17" fillId="10" borderId="0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9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right" vertical="center"/>
    </xf>
    <xf numFmtId="9" fontId="11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166" fontId="10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right" vertical="center"/>
    </xf>
    <xf numFmtId="168" fontId="11" fillId="0" borderId="1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D28D9"/>
      <rgbColor rgb="FF065F46"/>
      <rgbColor rgb="FFF9FAFB"/>
      <rgbColor rgb="FF808080"/>
      <rgbColor rgb="FF9999FF"/>
      <rgbColor rgb="FF993366"/>
      <rgbColor rgb="FFFFFACD"/>
      <rgbColor rgb="FFDCFCE7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3F4F6"/>
      <rgbColor rgb="FFFEF3C7"/>
      <rgbColor rgb="FF99CCFF"/>
      <rgbColor rgb="FFFF99CC"/>
      <rgbColor rgb="FFCC99FF"/>
      <rgbColor rgb="FFEDE9F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4B5563"/>
      <rgbColor rgb="FF92400E"/>
      <rgbColor rgb="FF993366"/>
      <rgbColor rgb="FF5B21B6"/>
      <rgbColor rgb="FF37415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44" min="1" max="1"/>
    <col width="22" customWidth="1" style="44" min="2" max="2"/>
    <col width="30" customWidth="1" style="44" min="3" max="3"/>
    <col width="50" customWidth="1" style="44" min="4" max="4"/>
    <col width="18" customWidth="1" style="44" min="5" max="6"/>
    <col width="14" customWidth="1" style="44" min="7" max="7"/>
    <col width="16" customWidth="1" style="44" min="8" max="8"/>
    <col width="14" customWidth="1" style="44" min="9" max="9"/>
    <col width="12" customWidth="1" style="44" min="10" max="10"/>
    <col width="38" customWidth="1" style="44" min="11" max="11"/>
  </cols>
  <sheetData>
    <row r="1" ht="31.5" customHeight="1" s="45">
      <c r="A1" s="46" t="inlineStr">
        <is>
          <t>Setnayan App — Consumer Features (couples) · 2026-05-11</t>
        </is>
      </c>
    </row>
    <row r="2" ht="30" customHeight="1" s="45">
      <c r="A2" s="47" t="inlineStr">
        <is>
          <t>Yellow cells under YOUR PRICE are for you to fill in. Margin and Margin % calculate automatically. Setnayan cost is per-instance (per event, per render, per pack — see Scope column).</t>
        </is>
      </c>
    </row>
    <row r="3"/>
    <row r="4" ht="31.5" customHeight="1" s="45">
      <c r="A4" s="48" t="inlineStr">
        <is>
          <t>ID</t>
        </is>
      </c>
      <c r="B4" s="48" t="inlineStr">
        <is>
          <t>Function (iteration)</t>
        </is>
      </c>
      <c r="C4" s="48" t="inlineStr">
        <is>
          <t>Feature / Service</t>
        </is>
      </c>
      <c r="D4" s="48" t="inlineStr">
        <is>
          <t>Description</t>
        </is>
      </c>
      <c r="E4" s="48" t="inlineStr">
        <is>
          <t>Status</t>
        </is>
      </c>
      <c r="F4" s="48" t="inlineStr">
        <is>
          <t>Scope</t>
        </is>
      </c>
      <c r="G4" s="48" t="inlineStr">
        <is>
          <t>Setnayan cost (PHP)</t>
        </is>
      </c>
      <c r="H4" s="48" t="inlineStr">
        <is>
          <t>YOUR PRICE (PHP)</t>
        </is>
      </c>
      <c r="I4" s="48" t="inlineStr">
        <is>
          <t>Margin (PHP)</t>
        </is>
      </c>
      <c r="J4" s="48" t="inlineStr">
        <is>
          <t>Margin %</t>
        </is>
      </c>
      <c r="K4" s="48" t="inlineStr">
        <is>
          <t>Notes</t>
        </is>
      </c>
    </row>
    <row r="5" ht="21.75" customHeight="1" s="45">
      <c r="A5" s="49" t="inlineStr">
        <is>
          <t>App Shell &amp; Navigation (iteration 0000) — universal Setnayan account, multi-event support, joining flow</t>
        </is>
      </c>
    </row>
    <row r="6" ht="36" customHeight="1" s="45">
      <c r="A6" s="50" t="inlineStr">
        <is>
          <t>AS-01</t>
        </is>
      </c>
      <c r="B6" s="51" t="inlineStr">
        <is>
          <t>App Shell (0000)</t>
        </is>
      </c>
      <c r="C6" s="50" t="inlineStr">
        <is>
          <t>Universal Setnayan account</t>
        </is>
      </c>
      <c r="D6" s="52" t="inlineStr">
        <is>
          <t>Single login spans every event the user has ever attended or hosted. Role-aware (couple/guest/vendor).</t>
        </is>
      </c>
      <c r="E6" s="53" t="inlineStr">
        <is>
          <t>Always Free</t>
        </is>
      </c>
      <c r="F6" s="54" t="inlineStr">
        <is>
          <t>per user</t>
        </is>
      </c>
      <c r="G6" s="55" t="n">
        <v>0</v>
      </c>
      <c r="H6" s="56" t="n"/>
      <c r="I6" s="57">
        <f>IF(H6="","",H6-G6)</f>
        <v/>
      </c>
      <c r="J6" s="58">
        <f>IF(OR(H6="",H6=0),"",(H6-G6)/H6)</f>
        <v/>
      </c>
      <c r="K6" s="59" t="inlineStr">
        <is>
          <t>Auth + database storage. Negligible per-user cost.</t>
        </is>
      </c>
    </row>
    <row r="7" ht="36" customHeight="1" s="45">
      <c r="A7" s="50" t="inlineStr">
        <is>
          <t>AS-02</t>
        </is>
      </c>
      <c r="B7" s="51" t="inlineStr">
        <is>
          <t>App Shell (0000)</t>
        </is>
      </c>
      <c r="C7" s="50" t="inlineStr">
        <is>
          <t>Multi-event support + picker</t>
        </is>
      </c>
      <c r="D7" s="52" t="inlineStr">
        <is>
          <t>User can be a couple at their wedding AND a guest at a friend's; event picker auto-jumps when 1 active event, shows picker when 2+.</t>
        </is>
      </c>
      <c r="E7" s="53" t="inlineStr">
        <is>
          <t>Always Free</t>
        </is>
      </c>
      <c r="F7" s="54" t="inlineStr">
        <is>
          <t>per user</t>
        </is>
      </c>
      <c r="G7" s="55" t="n">
        <v>0</v>
      </c>
      <c r="H7" s="56" t="n"/>
      <c r="I7" s="57">
        <f>IF(H7="","",H7-G7)</f>
        <v/>
      </c>
      <c r="J7" s="58">
        <f>IF(OR(H7="",H7=0),"",(H7-G7)/H7)</f>
        <v/>
      </c>
      <c r="K7" s="59" t="inlineStr">
        <is>
          <t>Schema supports many-to-many users↔events via event_members.</t>
        </is>
      </c>
    </row>
    <row r="8" ht="36" customHeight="1" s="45">
      <c r="A8" s="50" t="inlineStr">
        <is>
          <t>AS-03</t>
        </is>
      </c>
      <c r="B8" s="51" t="inlineStr">
        <is>
          <t>App Shell (0000)</t>
        </is>
      </c>
      <c r="C8" s="50" t="inlineStr">
        <is>
          <t>Event QR + scan-to-join flow</t>
        </is>
      </c>
      <c r="D8" s="52" t="inlineStr">
        <is>
          <t>Couple's auto-generated join QR; scanning routes through register/login → role pick → event-member link.</t>
        </is>
      </c>
      <c r="E8" s="53" t="inlineStr">
        <is>
          <t>Always Free</t>
        </is>
      </c>
      <c r="F8" s="54" t="inlineStr">
        <is>
          <t>per event</t>
        </is>
      </c>
      <c r="G8" s="55" t="n">
        <v>0</v>
      </c>
      <c r="H8" s="56" t="n"/>
      <c r="I8" s="57">
        <f>IF(H8="","",H8-G8)</f>
        <v/>
      </c>
      <c r="J8" s="58">
        <f>IF(OR(H8="",H8=0),"",(H8-G8)/H8)</f>
        <v/>
      </c>
      <c r="K8" s="59" t="inlineStr">
        <is>
          <t>QR generation + token rotation. Negligible cost.</t>
        </is>
      </c>
    </row>
    <row r="9" ht="36" customHeight="1" s="45">
      <c r="A9" s="50" t="inlineStr">
        <is>
          <t>AS-04</t>
        </is>
      </c>
      <c r="B9" s="51" t="inlineStr">
        <is>
          <t>App Shell (0000)</t>
        </is>
      </c>
      <c r="C9" s="50" t="inlineStr">
        <is>
          <t>4-tab bottom navigation</t>
        </is>
      </c>
      <c r="D9" s="52" t="inlineStr">
        <is>
          <t>Guest List / Vendors / Schedule / In-App Services tabs across every event-scoped view.</t>
        </is>
      </c>
      <c r="E9" s="53" t="inlineStr">
        <is>
          <t>Always Free</t>
        </is>
      </c>
      <c r="F9" s="54" t="inlineStr">
        <is>
          <t>per session</t>
        </is>
      </c>
      <c r="G9" s="55" t="n">
        <v>0</v>
      </c>
      <c r="H9" s="56" t="n"/>
      <c r="I9" s="57">
        <f>IF(H9="","",H9-G9)</f>
        <v/>
      </c>
      <c r="J9" s="58">
        <f>IF(OR(H9="",H9=0),"",(H9-G9)/H9)</f>
        <v/>
      </c>
      <c r="K9" s="59" t="inlineStr">
        <is>
          <t>Pure UI.</t>
        </is>
      </c>
    </row>
    <row r="10" ht="36" customHeight="1" s="45">
      <c r="A10" s="50" t="inlineStr">
        <is>
          <t>AS-05</t>
        </is>
      </c>
      <c r="B10" s="51" t="inlineStr">
        <is>
          <t>App Shell (0000)</t>
        </is>
      </c>
      <c r="C10" s="50" t="inlineStr">
        <is>
          <t>Services launcher grid</t>
        </is>
      </c>
      <c r="D10" s="52" t="inlineStr">
        <is>
          <t>Discoverable grid of all paid services available per event.</t>
        </is>
      </c>
      <c r="E10" s="53" t="inlineStr">
        <is>
          <t>Always Free</t>
        </is>
      </c>
      <c r="F10" s="54" t="inlineStr">
        <is>
          <t>per session</t>
        </is>
      </c>
      <c r="G10" s="55" t="n">
        <v>0</v>
      </c>
      <c r="H10" s="56" t="n"/>
      <c r="I10" s="57">
        <f>IF(H10="","",H10-G10)</f>
        <v/>
      </c>
      <c r="J10" s="58">
        <f>IF(OR(H10="",H10=0),"",(H10-G10)/H10)</f>
        <v/>
      </c>
      <c r="K10" s="59" t="inlineStr">
        <is>
          <t>Pure UI.</t>
        </is>
      </c>
    </row>
    <row r="11" ht="36" customHeight="1" s="45">
      <c r="A11" s="50" t="inlineStr">
        <is>
          <t>AS-06</t>
        </is>
      </c>
      <c r="B11" s="51" t="inlineStr">
        <is>
          <t>App Shell (0000)</t>
        </is>
      </c>
      <c r="C11" s="50" t="inlineStr">
        <is>
          <t>Event-scoped URL pattern</t>
        </is>
      </c>
      <c r="D11" s="52" t="inlineStr">
        <is>
          <t>setnayan.com/dashboard/[event-id]/[section] — every section deep-linkable, shareable.</t>
        </is>
      </c>
      <c r="E11" s="53" t="inlineStr">
        <is>
          <t>Always Free</t>
        </is>
      </c>
      <c r="F11" s="54" t="inlineStr">
        <is>
          <t>per session</t>
        </is>
      </c>
      <c r="G11" s="55" t="n">
        <v>0</v>
      </c>
      <c r="H11" s="56" t="n"/>
      <c r="I11" s="57">
        <f>IF(H11="","",H11-G11)</f>
        <v/>
      </c>
      <c r="J11" s="58">
        <f>IF(OR(H11="",H11=0),"",(H11-G11)/H11)</f>
        <v/>
      </c>
      <c r="K11" s="59" t="inlineStr">
        <is>
          <t>Routing only.</t>
        </is>
      </c>
    </row>
    <row r="12" ht="36" customHeight="1" s="45">
      <c r="A12" s="50" t="inlineStr">
        <is>
          <t>AS-07</t>
        </is>
      </c>
      <c r="B12" s="51" t="inlineStr">
        <is>
          <t>App Shell (0000)</t>
        </is>
      </c>
      <c r="C12" s="50" t="inlineStr">
        <is>
          <t>Event type picker (6 types)</t>
        </is>
      </c>
      <c r="D12" s="52" t="inlineStr">
        <is>
          <t>Birthday / Celebration / Travel / Corporate / Weddings / Burial. Only Weddings selectable in V1.</t>
        </is>
      </c>
      <c r="E12" s="53" t="inlineStr">
        <is>
          <t>Always Free</t>
        </is>
      </c>
      <c r="F12" s="54" t="inlineStr">
        <is>
          <t>per event</t>
        </is>
      </c>
      <c r="G12" s="55" t="n">
        <v>0</v>
      </c>
      <c r="H12" s="56" t="n"/>
      <c r="I12" s="57">
        <f>IF(H12="","",H12-G12)</f>
        <v/>
      </c>
      <c r="J12" s="58">
        <f>IF(OR(H12="",H12=0),"",(H12-G12)/H12)</f>
        <v/>
      </c>
      <c r="K12" s="59" t="inlineStr">
        <is>
          <t>5 of 6 are 'Coming soon' in V1.</t>
        </is>
      </c>
    </row>
    <row r="13" ht="21.75" customHeight="1" s="45">
      <c r="A13" s="49" t="inlineStr">
        <is>
          <t>Guest List (iteration 0001) — couple's guest roster, roles, plus-ones</t>
        </is>
      </c>
    </row>
    <row r="14" ht="36" customHeight="1" s="45">
      <c r="A14" s="50" t="inlineStr">
        <is>
          <t>GL-01</t>
        </is>
      </c>
      <c r="B14" s="51" t="inlineStr">
        <is>
          <t>Guest List (0001)</t>
        </is>
      </c>
      <c r="C14" s="50" t="inlineStr">
        <is>
          <t>Guest list management</t>
        </is>
      </c>
      <c r="D14" s="52" t="inlineStr">
        <is>
          <t>Add/edit/remove guests, assign roles (24+ Filipino wedding traditions: principal sponsors, secondary sponsors, entourage, bearers, etc.).</t>
        </is>
      </c>
      <c r="E14" s="53" t="inlineStr">
        <is>
          <t>Always Free</t>
        </is>
      </c>
      <c r="F14" s="54" t="inlineStr">
        <is>
          <t>per event</t>
        </is>
      </c>
      <c r="G14" s="55" t="n">
        <v>0</v>
      </c>
      <c r="H14" s="56" t="n"/>
      <c r="I14" s="57">
        <f>IF(H14="","",H14-G14)</f>
        <v/>
      </c>
      <c r="J14" s="58">
        <f>IF(OR(H14="",H14=0),"",(H14-G14)/H14)</f>
        <v/>
      </c>
      <c r="K14" s="59" t="inlineStr">
        <is>
          <t>Database storage. Roles drive role-tier auto-fill in 0008.</t>
        </is>
      </c>
    </row>
    <row r="15" ht="36" customHeight="1" s="45">
      <c r="A15" s="50" t="inlineStr">
        <is>
          <t>GL-02</t>
        </is>
      </c>
      <c r="B15" s="51" t="inlineStr">
        <is>
          <t>Guest List (0001)</t>
        </is>
      </c>
      <c r="C15" s="50" t="inlineStr">
        <is>
          <t>Plus-one model</t>
        </is>
      </c>
      <c r="D15" s="52" t="inlineStr">
        <is>
          <t>Primary guest + plus-one structure. Plus-one inherits primary's role tier.</t>
        </is>
      </c>
      <c r="E15" s="53" t="inlineStr">
        <is>
          <t>Always Free</t>
        </is>
      </c>
      <c r="F15" s="54" t="inlineStr">
        <is>
          <t>per guest</t>
        </is>
      </c>
      <c r="G15" s="55" t="n">
        <v>0</v>
      </c>
      <c r="H15" s="56" t="n"/>
      <c r="I15" s="57">
        <f>IF(H15="","",H15-G15)</f>
        <v/>
      </c>
      <c r="J15" s="58">
        <f>IF(OR(H15="",H15=0),"",(H15-G15)/H15)</f>
        <v/>
      </c>
      <c r="K15" s="59" t="inlineStr">
        <is>
          <t>—</t>
        </is>
      </c>
    </row>
    <row r="16" ht="36" customHeight="1" s="45">
      <c r="A16" s="50" t="inlineStr">
        <is>
          <t>GL-03</t>
        </is>
      </c>
      <c r="B16" s="51" t="inlineStr">
        <is>
          <t>Guest List (0001)</t>
        </is>
      </c>
      <c r="C16" s="50" t="inlineStr">
        <is>
          <t>Bulk CSV import</t>
        </is>
      </c>
      <c r="D16" s="52" t="inlineStr">
        <is>
          <t>Couple imports guest list from spreadsheet at the start of planning.</t>
        </is>
      </c>
      <c r="E16" s="53" t="inlineStr">
        <is>
          <t>Always Free</t>
        </is>
      </c>
      <c r="F16" s="54" t="inlineStr">
        <is>
          <t>per import</t>
        </is>
      </c>
      <c r="G16" s="55" t="n">
        <v>0</v>
      </c>
      <c r="H16" s="56" t="n"/>
      <c r="I16" s="57">
        <f>IF(H16="","",H16-G16)</f>
        <v/>
      </c>
      <c r="J16" s="58">
        <f>IF(OR(H16="",H16=0),"",(H16-G16)/H16)</f>
        <v/>
      </c>
      <c r="K16" s="59" t="inlineStr">
        <is>
          <t>Parser + validator. One-shot per event.</t>
        </is>
      </c>
    </row>
    <row r="17" ht="36" customHeight="1" s="45">
      <c r="A17" s="50" t="inlineStr">
        <is>
          <t>GL-04</t>
        </is>
      </c>
      <c r="B17" s="51" t="inlineStr">
        <is>
          <t>Guest List (0001)</t>
        </is>
      </c>
      <c r="C17" s="50" t="inlineStr">
        <is>
          <t>Plus-one self-onboarding</t>
        </is>
      </c>
      <c r="D17" s="52" t="inlineStr">
        <is>
          <t>When +1 scans their personalized QR, they claim their seat / submit RSVP separately.</t>
        </is>
      </c>
      <c r="E17" s="53" t="inlineStr">
        <is>
          <t>Always Free</t>
        </is>
      </c>
      <c r="F17" s="54" t="inlineStr">
        <is>
          <t>per +1</t>
        </is>
      </c>
      <c r="G17" s="55" t="n">
        <v>0</v>
      </c>
      <c r="H17" s="56" t="n"/>
      <c r="I17" s="57">
        <f>IF(H17="","",H17-G17)</f>
        <v/>
      </c>
      <c r="J17" s="58">
        <f>IF(OR(H17="",H17=0),"",(H17-G17)/H17)</f>
        <v/>
      </c>
      <c r="K17" s="59" t="inlineStr">
        <is>
          <t>Auth + RLS. Already covered by AS-03.</t>
        </is>
      </c>
    </row>
    <row r="18" ht="36" customHeight="1" s="45">
      <c r="A18" s="50" t="inlineStr">
        <is>
          <t>GL-05</t>
        </is>
      </c>
      <c r="B18" s="51" t="inlineStr">
        <is>
          <t>Guest List (0001)</t>
        </is>
      </c>
      <c r="C18" s="50" t="inlineStr">
        <is>
          <t>Profile photo upload</t>
        </is>
      </c>
      <c r="D18" s="52" t="inlineStr">
        <is>
          <t>Guests upload profile photos at RSVP — feeds face detection in 0012 Paparazzi.</t>
        </is>
      </c>
      <c r="E18" s="53" t="inlineStr">
        <is>
          <t>Always Free</t>
        </is>
      </c>
      <c r="F18" s="54" t="inlineStr">
        <is>
          <t>per guest</t>
        </is>
      </c>
      <c r="G18" s="55" t="n">
        <v>0</v>
      </c>
      <c r="H18" s="56" t="n"/>
      <c r="I18" s="57">
        <f>IF(H18="","",H18-G18)</f>
        <v/>
      </c>
      <c r="J18" s="58">
        <f>IF(OR(H18="",H18=0),"",(H18-G18)/H18)</f>
        <v/>
      </c>
      <c r="K18" s="59" t="inlineStr">
        <is>
          <t>R2 storage per photo (~₱0.01).</t>
        </is>
      </c>
    </row>
    <row r="19" ht="21.75" customHeight="1" s="45">
      <c r="A19" s="49" t="inlineStr">
        <is>
          <t>QR Invitation System (iteration 0002) — auto-generated personal invitation site per guest</t>
        </is>
      </c>
    </row>
    <row r="20" ht="36" customHeight="1" s="45">
      <c r="A20" s="50" t="inlineStr">
        <is>
          <t>INV-01</t>
        </is>
      </c>
      <c r="B20" s="51" t="inlineStr">
        <is>
          <t>QR Invitations (0002)</t>
        </is>
      </c>
      <c r="C20" s="50" t="inlineStr">
        <is>
          <t>Auto-generated invitation site (per guest)</t>
        </is>
      </c>
      <c r="D20" s="52" t="inlineStr">
        <is>
          <t>One Vercel-hosted URL per guest with the couple's name, schedule, RSVP form. Renders Basic widgets out of the box.</t>
        </is>
      </c>
      <c r="E20" s="53" t="inlineStr">
        <is>
          <t>Always Free</t>
        </is>
      </c>
      <c r="F20" s="54" t="inlineStr">
        <is>
          <t>per guest</t>
        </is>
      </c>
      <c r="G20" s="55" t="n">
        <v>0</v>
      </c>
      <c r="H20" s="56" t="n"/>
      <c r="I20" s="57">
        <f>IF(H20="","",H20-G20)</f>
        <v/>
      </c>
      <c r="J20" s="58">
        <f>IF(OR(H20="",H20=0),"",(H20-G20)/H20)</f>
        <v/>
      </c>
      <c r="K20" s="59" t="inlineStr">
        <is>
          <t>SSR + R2 image hosting. Free egress on Cloudflare.</t>
        </is>
      </c>
    </row>
    <row r="21" ht="36" customHeight="1" s="45">
      <c r="A21" s="50" t="inlineStr">
        <is>
          <t>INV-02</t>
        </is>
      </c>
      <c r="B21" s="51" t="inlineStr">
        <is>
          <t>QR Invitations (0002)</t>
        </is>
      </c>
      <c r="C21" s="50" t="inlineStr">
        <is>
          <t>Branded QR code per guest</t>
        </is>
      </c>
      <c r="D21" s="52" t="inlineStr">
        <is>
          <t>Printable, scannable QR encodes the guest-specific URL. Used for entry, tagging, place card.</t>
        </is>
      </c>
      <c r="E21" s="53" t="inlineStr">
        <is>
          <t>Always Free</t>
        </is>
      </c>
      <c r="F21" s="54" t="inlineStr">
        <is>
          <t>per guest</t>
        </is>
      </c>
      <c r="G21" s="55" t="n">
        <v>0</v>
      </c>
      <c r="H21" s="56" t="n"/>
      <c r="I21" s="57">
        <f>IF(H21="","",H21-G21)</f>
        <v/>
      </c>
      <c r="J21" s="58">
        <f>IF(OR(H21="",H21=0),"",(H21-G21)/H21)</f>
        <v/>
      </c>
      <c r="K21" s="59" t="inlineStr">
        <is>
          <t>QR generation. Negligible cost.</t>
        </is>
      </c>
    </row>
    <row r="22" ht="36" customHeight="1" s="45">
      <c r="A22" s="50" t="inlineStr">
        <is>
          <t>INV-03</t>
        </is>
      </c>
      <c r="B22" s="51" t="inlineStr">
        <is>
          <t>QR Invitations (0002)</t>
        </is>
      </c>
      <c r="C22" s="50" t="inlineStr">
        <is>
          <t>RSVP flow + dietary</t>
        </is>
      </c>
      <c r="D22" s="52" t="inlineStr">
        <is>
          <t>Yes/No/Maybe RSVP with dietary restrictions, plus-one declaration, song requests.</t>
        </is>
      </c>
      <c r="E22" s="53" t="inlineStr">
        <is>
          <t>Always Free</t>
        </is>
      </c>
      <c r="F22" s="54" t="inlineStr">
        <is>
          <t>per guest</t>
        </is>
      </c>
      <c r="G22" s="55" t="n">
        <v>0</v>
      </c>
      <c r="H22" s="56" t="n"/>
      <c r="I22" s="57">
        <f>IF(H22="","",H22-G22)</f>
        <v/>
      </c>
      <c r="J22" s="58">
        <f>IF(OR(H22="",H22=0),"",(H22-G22)/H22)</f>
        <v/>
      </c>
      <c r="K22" s="59" t="inlineStr">
        <is>
          <t>Form storage + state.</t>
        </is>
      </c>
    </row>
    <row r="23" ht="36" customHeight="1" s="45">
      <c r="A23" s="50" t="inlineStr">
        <is>
          <t>INV-04</t>
        </is>
      </c>
      <c r="B23" s="51" t="inlineStr">
        <is>
          <t>QR Invitations (0002)</t>
        </is>
      </c>
      <c r="C23" s="50" t="inlineStr">
        <is>
          <t>Plus-one invitations</t>
        </is>
      </c>
      <c r="D23" s="52" t="inlineStr">
        <is>
          <t>Primary guest's RSVP can trigger a +1 invitation flow.</t>
        </is>
      </c>
      <c r="E23" s="53" t="inlineStr">
        <is>
          <t>Always Free</t>
        </is>
      </c>
      <c r="F23" s="54" t="inlineStr">
        <is>
          <t>per +1</t>
        </is>
      </c>
      <c r="G23" s="55" t="n">
        <v>0</v>
      </c>
      <c r="H23" s="56" t="n"/>
      <c r="I23" s="57">
        <f>IF(H23="","",H23-G23)</f>
        <v/>
      </c>
      <c r="J23" s="58">
        <f>IF(OR(H23="",H23=0),"",(H23-G23)/H23)</f>
        <v/>
      </c>
      <c r="K23" s="59" t="inlineStr">
        <is>
          <t>Linked to GL-04.</t>
        </is>
      </c>
    </row>
    <row r="24" ht="36" customHeight="1" s="45">
      <c r="A24" s="50" t="inlineStr">
        <is>
          <t>INV-05</t>
        </is>
      </c>
      <c r="B24" s="51" t="inlineStr">
        <is>
          <t>QR Invitations (0002)</t>
        </is>
      </c>
      <c r="C24" s="50" t="inlineStr">
        <is>
          <t>View tracking</t>
        </is>
      </c>
      <c r="D24" s="52" t="inlineStr">
        <is>
          <t>Couple sees which guests have opened their invite (read receipt).</t>
        </is>
      </c>
      <c r="E24" s="53" t="inlineStr">
        <is>
          <t>Always Free</t>
        </is>
      </c>
      <c r="F24" s="54" t="inlineStr">
        <is>
          <t>per guest</t>
        </is>
      </c>
      <c r="G24" s="55" t="n">
        <v>0</v>
      </c>
      <c r="H24" s="56" t="n"/>
      <c r="I24" s="57">
        <f>IF(H24="","",H24-G24)</f>
        <v/>
      </c>
      <c r="J24" s="58">
        <f>IF(OR(H24="",H24=0),"",(H24-G24)/H24)</f>
        <v/>
      </c>
      <c r="K24" s="59" t="inlineStr">
        <is>
          <t>Pageview log.</t>
        </is>
      </c>
    </row>
    <row r="25" ht="21.75" customHeight="1" s="45">
      <c r="A25" s="49" t="inlineStr">
        <is>
          <t>Billing Rail (iteration 0003 — was Token Wallet, retired 2026-05-11) — PHP-only via PayMongo</t>
        </is>
      </c>
    </row>
    <row r="26" ht="36" customHeight="1" s="45">
      <c r="A26" s="50" t="inlineStr">
        <is>
          <t>BL-01</t>
        </is>
      </c>
      <c r="B26" s="51" t="inlineStr">
        <is>
          <t>Billing Rail (0003)</t>
        </is>
      </c>
      <c r="C26" s="50" t="inlineStr">
        <is>
          <t>PHP-only checkout via PayMongo</t>
        </is>
      </c>
      <c r="D26" s="52" t="inlineStr">
        <is>
          <t>Card / GCash / Maya checkout for every paid surface. No tokens; no in-app currency.</t>
        </is>
      </c>
      <c r="E26" s="53" t="inlineStr">
        <is>
          <t>Always Free</t>
        </is>
      </c>
      <c r="F26" s="54" t="inlineStr">
        <is>
          <t>per txn</t>
        </is>
      </c>
      <c r="G26" s="55" t="n">
        <v>0</v>
      </c>
      <c r="H26" s="56" t="n"/>
      <c r="I26" s="57">
        <f>IF(H26="","",H26-G26)</f>
        <v/>
      </c>
      <c r="J26" s="58">
        <f>IF(OR(H26="",H26=0),"",(H26-G26)/H26)</f>
        <v/>
      </c>
      <c r="K26" s="59" t="inlineStr">
        <is>
          <t>PayMongo fee (~3.5% + ₱15) is a global transaction overhead — see Cost Notes.</t>
        </is>
      </c>
    </row>
    <row r="27" ht="36" customHeight="1" s="45">
      <c r="A27" s="50" t="inlineStr">
        <is>
          <t>BL-02</t>
        </is>
      </c>
      <c r="B27" s="51" t="inlineStr">
        <is>
          <t>Billing Rail (0003)</t>
        </is>
      </c>
      <c r="C27" s="50" t="inlineStr">
        <is>
          <t>Subscription auto-renew</t>
        </is>
      </c>
      <c r="D27" s="52" t="inlineStr">
        <is>
          <t>Recurring weekly/monthly billing for tier subscriptions. Auto-cancel at wedding date + 7 days.</t>
        </is>
      </c>
      <c r="E27" s="53" t="inlineStr">
        <is>
          <t>Always Free</t>
        </is>
      </c>
      <c r="F27" s="54" t="inlineStr">
        <is>
          <t>per subscription</t>
        </is>
      </c>
      <c r="G27" s="55" t="n">
        <v>0</v>
      </c>
      <c r="H27" s="56" t="n"/>
      <c r="I27" s="57">
        <f>IF(H27="","",H27-G27)</f>
        <v/>
      </c>
      <c r="J27" s="58">
        <f>IF(OR(H27="",H27=0),"",(H27-G27)/H27)</f>
        <v/>
      </c>
      <c r="K27" s="59" t="inlineStr">
        <is>
          <t>PayMongo recurring.</t>
        </is>
      </c>
    </row>
    <row r="28" ht="36" customHeight="1" s="45">
      <c r="A28" s="50" t="inlineStr">
        <is>
          <t>BL-03</t>
        </is>
      </c>
      <c r="B28" s="51" t="inlineStr">
        <is>
          <t>Billing Rail (0003)</t>
        </is>
      </c>
      <c r="C28" s="50" t="inlineStr">
        <is>
          <t>One-time purchase processing</t>
        </is>
      </c>
      <c r="D28" s="52" t="inlineStr">
        <is>
          <t>À la carte path — couple pays a one-time PHP charge to unlock a service.</t>
        </is>
      </c>
      <c r="E28" s="53" t="inlineStr">
        <is>
          <t>Always Free</t>
        </is>
      </c>
      <c r="F28" s="54" t="inlineStr">
        <is>
          <t>per purchase</t>
        </is>
      </c>
      <c r="G28" s="55" t="n">
        <v>0</v>
      </c>
      <c r="H28" s="56" t="n"/>
      <c r="I28" s="57">
        <f>IF(H28="","",H28-G28)</f>
        <v/>
      </c>
      <c r="J28" s="58">
        <f>IF(OR(H28="",H28=0),"",(H28-G28)/H28)</f>
        <v/>
      </c>
      <c r="K28" s="59" t="inlineStr">
        <is>
          <t>PayMongo one-time charge.</t>
        </is>
      </c>
    </row>
    <row r="29" ht="36" customHeight="1" s="45">
      <c r="A29" s="50" t="inlineStr">
        <is>
          <t>BL-04</t>
        </is>
      </c>
      <c r="B29" s="51" t="inlineStr">
        <is>
          <t>Billing Rail (0003)</t>
        </is>
      </c>
      <c r="C29" s="50" t="inlineStr">
        <is>
          <t>Annual prepay discount</t>
        </is>
      </c>
      <c r="D29" s="52" t="inlineStr">
        <is>
          <t>Pay 12 weeks upfront, get 16 weeks of access (25% saving). Replaces the bonus-token mechanic.</t>
        </is>
      </c>
      <c r="E29" s="53" t="inlineStr">
        <is>
          <t>Always Free</t>
        </is>
      </c>
      <c r="F29" s="54" t="inlineStr">
        <is>
          <t>per prepay</t>
        </is>
      </c>
      <c r="G29" s="55" t="n">
        <v>0</v>
      </c>
      <c r="H29" s="56" t="n"/>
      <c r="I29" s="57">
        <f>IF(H29="","",H29-G29)</f>
        <v/>
      </c>
      <c r="J29" s="58">
        <f>IF(OR(H29="",H29=0),"",(H29-G29)/H29)</f>
        <v/>
      </c>
      <c r="K29" s="59" t="inlineStr">
        <is>
          <t>Forgone revenue, not marginal cost. Drives upfront commitment.</t>
        </is>
      </c>
    </row>
    <row r="30" ht="36" customHeight="1" s="45">
      <c r="A30" s="50" t="inlineStr">
        <is>
          <t>BL-05</t>
        </is>
      </c>
      <c r="B30" s="51" t="inlineStr">
        <is>
          <t>Billing Rail (0003)</t>
        </is>
      </c>
      <c r="C30" s="50" t="inlineStr">
        <is>
          <t>Refunds + dunning</t>
        </is>
      </c>
      <c r="D30" s="52" t="inlineStr">
        <is>
          <t>Failed-card retry, prorated cancellation, refund flow for genuine support cases.</t>
        </is>
      </c>
      <c r="E30" s="53" t="inlineStr">
        <is>
          <t>Always Free</t>
        </is>
      </c>
      <c r="F30" s="54" t="inlineStr">
        <is>
          <t>per dispute</t>
        </is>
      </c>
      <c r="G30" s="55" t="n">
        <v>0</v>
      </c>
      <c r="H30" s="56" t="n"/>
      <c r="I30" s="57">
        <f>IF(H30="","",H30-G30)</f>
        <v/>
      </c>
      <c r="J30" s="58">
        <f>IF(OR(H30="",H30=0),"",(H30-G30)/H30)</f>
        <v/>
      </c>
      <c r="K30" s="59" t="inlineStr">
        <is>
          <t>PayMongo + support time. Engineering cost amortized.</t>
        </is>
      </c>
    </row>
    <row r="31" ht="21.75" customHeight="1" s="45">
      <c r="A31" s="49" t="inlineStr">
        <is>
          <t>Invitation Widgets (iteration 0004) — Basic free, Pro tier upgrades chargeable</t>
        </is>
      </c>
    </row>
    <row r="32" ht="36" customHeight="1" s="45">
      <c r="A32" s="50" t="inlineStr">
        <is>
          <t>IW-FREE</t>
        </is>
      </c>
      <c r="B32" s="51" t="inlineStr">
        <is>
          <t>Invitation Widgets (0004)</t>
        </is>
      </c>
      <c r="C32" s="50" t="inlineStr">
        <is>
          <t>Basic widgets (Hero / Our Story / Schedule)</t>
        </is>
      </c>
      <c r="D32" s="52" t="inlineStr">
        <is>
          <t>Static templates for hero banner, story timeline, schedule. Customizable text + photos but no animations.</t>
        </is>
      </c>
      <c r="E32" s="53" t="inlineStr">
        <is>
          <t>Always Free</t>
        </is>
      </c>
      <c r="F32" s="54" t="inlineStr">
        <is>
          <t>per event</t>
        </is>
      </c>
      <c r="G32" s="55" t="n">
        <v>0</v>
      </c>
      <c r="H32" s="56" t="n"/>
      <c r="I32" s="57">
        <f>IF(H32="","",H32-G32)</f>
        <v/>
      </c>
      <c r="J32" s="58">
        <f>IF(OR(H32="",H32=0),"",(H32-G32)/H32)</f>
        <v/>
      </c>
      <c r="K32" s="59" t="inlineStr">
        <is>
          <t>Pure software.</t>
        </is>
      </c>
    </row>
    <row r="33" ht="36" customHeight="1" s="45">
      <c r="A33" s="50" t="inlineStr">
        <is>
          <t>IW-CSS</t>
        </is>
      </c>
      <c r="B33" s="51" t="inlineStr">
        <is>
          <t>Invitation Widgets (0004)</t>
        </is>
      </c>
      <c r="C33" s="50" t="inlineStr">
        <is>
          <t>Customization editor</t>
        </is>
      </c>
      <c r="D33" s="52" t="inlineStr">
        <is>
          <t>Drag-and-drop layout, theme color override, font picker, photo placement.</t>
        </is>
      </c>
      <c r="E33" s="53" t="inlineStr">
        <is>
          <t>Always Free</t>
        </is>
      </c>
      <c r="F33" s="54" t="inlineStr">
        <is>
          <t>per event</t>
        </is>
      </c>
      <c r="G33" s="55" t="n">
        <v>0</v>
      </c>
      <c r="H33" s="56" t="n"/>
      <c r="I33" s="57">
        <f>IF(H33="","",H33-G33)</f>
        <v/>
      </c>
      <c r="J33" s="58">
        <f>IF(OR(H33="",H33=0),"",(H33-G33)/H33)</f>
        <v/>
      </c>
      <c r="K33" s="59" t="inlineStr">
        <is>
          <t>Editor UI.</t>
        </is>
      </c>
    </row>
    <row r="34" ht="36" customHeight="1" s="45">
      <c r="A34" s="50" t="inlineStr">
        <is>
          <t>I-01</t>
        </is>
      </c>
      <c r="B34" s="51" t="inlineStr">
        <is>
          <t>Invitation Widgets (0004)</t>
        </is>
      </c>
      <c r="C34" s="50" t="inlineStr">
        <is>
          <t>Pro Hero widget</t>
        </is>
      </c>
      <c r="D34" s="52" t="inlineStr">
        <is>
          <t>Cinematic hero with parallax + animated monogram + Ken Burns photo reveal.</t>
        </is>
      </c>
      <c r="E34" s="60" t="inlineStr">
        <is>
          <t>Live V1</t>
        </is>
      </c>
      <c r="F34" s="54" t="inlineStr">
        <is>
          <t>per event</t>
        </is>
      </c>
      <c r="G34" s="55" t="n">
        <v>0</v>
      </c>
      <c r="H34" s="56" t="n"/>
      <c r="I34" s="57">
        <f>IF(H34="","",H34-G34)</f>
        <v/>
      </c>
      <c r="J34" s="58">
        <f>IF(OR(H34="",H34=0),"",(H34-G34)/H34)</f>
        <v/>
      </c>
      <c r="K34" s="59" t="inlineStr">
        <is>
          <t>Pure software margin. Animations served from CDN.</t>
        </is>
      </c>
    </row>
    <row r="35" ht="36" customHeight="1" s="45">
      <c r="A35" s="50" t="inlineStr">
        <is>
          <t>I-02</t>
        </is>
      </c>
      <c r="B35" s="51" t="inlineStr">
        <is>
          <t>Invitation Widgets (0004)</t>
        </is>
      </c>
      <c r="C35" s="50" t="inlineStr">
        <is>
          <t>Pro Our Story widget</t>
        </is>
      </c>
      <c r="D35" s="52" t="inlineStr">
        <is>
          <t>Animated timeline with photo reveals + audio narration option.</t>
        </is>
      </c>
      <c r="E35" s="60" t="inlineStr">
        <is>
          <t>Live V1</t>
        </is>
      </c>
      <c r="F35" s="54" t="inlineStr">
        <is>
          <t>per event</t>
        </is>
      </c>
      <c r="G35" s="55" t="n">
        <v>0</v>
      </c>
      <c r="H35" s="56" t="n"/>
      <c r="I35" s="57">
        <f>IF(H35="","",H35-G35)</f>
        <v/>
      </c>
      <c r="J35" s="58">
        <f>IF(OR(H35="",H35=0),"",(H35-G35)/H35)</f>
        <v/>
      </c>
      <c r="K35" s="59" t="inlineStr">
        <is>
          <t>Pure software margin.</t>
        </is>
      </c>
    </row>
    <row r="36" ht="36" customHeight="1" s="45">
      <c r="A36" s="50" t="inlineStr">
        <is>
          <t>I-03</t>
        </is>
      </c>
      <c r="B36" s="51" t="inlineStr">
        <is>
          <t>Invitation Widgets (0004)</t>
        </is>
      </c>
      <c r="C36" s="50" t="inlineStr">
        <is>
          <t>Pro Schedule widget</t>
        </is>
      </c>
      <c r="D36" s="52" t="inlineStr">
        <is>
          <t>Map deeplinks (Waze/Google), animated RSVP timeline, calendar export.</t>
        </is>
      </c>
      <c r="E36" s="60" t="inlineStr">
        <is>
          <t>Live V1</t>
        </is>
      </c>
      <c r="F36" s="54" t="inlineStr">
        <is>
          <t>per event</t>
        </is>
      </c>
      <c r="G36" s="55" t="n">
        <v>0</v>
      </c>
      <c r="H36" s="56" t="n"/>
      <c r="I36" s="57">
        <f>IF(H36="","",H36-G36)</f>
        <v/>
      </c>
      <c r="J36" s="58">
        <f>IF(OR(H36="",H36=0),"",(H36-G36)/H36)</f>
        <v/>
      </c>
      <c r="K36" s="59" t="inlineStr">
        <is>
          <t>Pure software margin.</t>
        </is>
      </c>
    </row>
    <row r="37" ht="36" customHeight="1" s="45">
      <c r="A37" s="50" t="inlineStr">
        <is>
          <t>I-04</t>
        </is>
      </c>
      <c r="B37" s="51" t="inlineStr">
        <is>
          <t>Invitation Widgets (0004)</t>
        </is>
      </c>
      <c r="C37" s="50" t="inlineStr">
        <is>
          <t>Pro Bundle (all 3 widgets)</t>
        </is>
      </c>
      <c r="D37" s="52" t="inlineStr">
        <is>
          <t>Hero + Our Story + Schedule together — typical couple's full Pro upgrade.</t>
        </is>
      </c>
      <c r="E37" s="60" t="inlineStr">
        <is>
          <t>Live V1</t>
        </is>
      </c>
      <c r="F37" s="54" t="inlineStr">
        <is>
          <t>per event</t>
        </is>
      </c>
      <c r="G37" s="55" t="n">
        <v>0</v>
      </c>
      <c r="H37" s="56" t="n"/>
      <c r="I37" s="57">
        <f>IF(H37="","",H37-G37)</f>
        <v/>
      </c>
      <c r="J37" s="58">
        <f>IF(OR(H37="",H37=0),"",(H37-G37)/H37)</f>
        <v/>
      </c>
      <c r="K37" s="59" t="inlineStr">
        <is>
          <t>Pure software margin.</t>
        </is>
      </c>
    </row>
    <row r="38" ht="36" customHeight="1" s="45">
      <c r="A38" s="50" t="inlineStr">
        <is>
          <t>I-01</t>
        </is>
      </c>
      <c r="B38" s="51" t="inlineStr">
        <is>
          <t>Invitation (0004)</t>
        </is>
      </c>
      <c r="C38" s="50" t="inlineStr">
        <is>
          <t>Pro Hero widget</t>
        </is>
      </c>
      <c r="D38" s="52" t="inlineStr">
        <is>
          <t>Cinematic hero with parallax + animated monogram + Ken Burns photo reveal.</t>
        </is>
      </c>
      <c r="E38" s="60" t="inlineStr">
        <is>
          <t>Live V1</t>
        </is>
      </c>
      <c r="F38" s="54" t="inlineStr">
        <is>
          <t>per event</t>
        </is>
      </c>
      <c r="G38" s="55" t="n">
        <v>0</v>
      </c>
      <c r="H38" s="56" t="n"/>
      <c r="I38" s="57">
        <f>IF(H38="","",H38-G38)</f>
        <v/>
      </c>
      <c r="J38" s="58">
        <f>IF(OR(H38="",H38=0),"",(H38-G38)/H38)</f>
        <v/>
      </c>
      <c r="K38" s="59" t="inlineStr">
        <is>
          <t>Pure software margin. Animations served from CDN, no per-render cost.</t>
        </is>
      </c>
    </row>
    <row r="39" ht="36" customHeight="1" s="45">
      <c r="A39" s="50" t="inlineStr">
        <is>
          <t>I-02</t>
        </is>
      </c>
      <c r="B39" s="51" t="inlineStr">
        <is>
          <t>Invitation (0004)</t>
        </is>
      </c>
      <c r="C39" s="50" t="inlineStr">
        <is>
          <t>Pro Our Story widget</t>
        </is>
      </c>
      <c r="D39" s="52" t="inlineStr">
        <is>
          <t>Animated timeline with photo reveals + audio narration option.</t>
        </is>
      </c>
      <c r="E39" s="60" t="inlineStr">
        <is>
          <t>Live V1</t>
        </is>
      </c>
      <c r="F39" s="54" t="inlineStr">
        <is>
          <t>per event</t>
        </is>
      </c>
      <c r="G39" s="55" t="n">
        <v>0</v>
      </c>
      <c r="H39" s="56" t="n"/>
      <c r="I39" s="57">
        <f>IF(H39="","",H39-G39)</f>
        <v/>
      </c>
      <c r="J39" s="58">
        <f>IF(OR(H39="",H39=0),"",(H39-G39)/H39)</f>
        <v/>
      </c>
      <c r="K39" s="59" t="inlineStr">
        <is>
          <t>Pure software margin.</t>
        </is>
      </c>
    </row>
    <row r="40" ht="36" customHeight="1" s="45">
      <c r="A40" s="50" t="inlineStr">
        <is>
          <t>I-03</t>
        </is>
      </c>
      <c r="B40" s="51" t="inlineStr">
        <is>
          <t>Invitation (0004)</t>
        </is>
      </c>
      <c r="C40" s="50" t="inlineStr">
        <is>
          <t>Pro Schedule widget</t>
        </is>
      </c>
      <c r="D40" s="52" t="inlineStr">
        <is>
          <t>Map deeplinks (Waze/Google), animated RSVP timeline, calendar export.</t>
        </is>
      </c>
      <c r="E40" s="60" t="inlineStr">
        <is>
          <t>Live V1</t>
        </is>
      </c>
      <c r="F40" s="54" t="inlineStr">
        <is>
          <t>per event</t>
        </is>
      </c>
      <c r="G40" s="55" t="n">
        <v>0</v>
      </c>
      <c r="H40" s="56" t="n"/>
      <c r="I40" s="57">
        <f>IF(H40="","",H40-G40)</f>
        <v/>
      </c>
      <c r="J40" s="58">
        <f>IF(OR(H40="",H40=0),"",(H40-G40)/H40)</f>
        <v/>
      </c>
      <c r="K40" s="59" t="inlineStr">
        <is>
          <t>Pure software margin.</t>
        </is>
      </c>
    </row>
    <row r="41" ht="36" customHeight="1" s="45">
      <c r="A41" s="50" t="inlineStr">
        <is>
          <t>I-04</t>
        </is>
      </c>
      <c r="B41" s="51" t="inlineStr">
        <is>
          <t>Invitation (0004)</t>
        </is>
      </c>
      <c r="C41" s="50" t="inlineStr">
        <is>
          <t>Pro Bundle (all 3 widgets)</t>
        </is>
      </c>
      <c r="D41" s="52" t="inlineStr">
        <is>
          <t>Hero + Our Story + Schedule together — typical couple's full Pro upgrade.</t>
        </is>
      </c>
      <c r="E41" s="60" t="inlineStr">
        <is>
          <t>Live V1</t>
        </is>
      </c>
      <c r="F41" s="54" t="inlineStr">
        <is>
          <t>per event</t>
        </is>
      </c>
      <c r="G41" s="55" t="n">
        <v>0</v>
      </c>
      <c r="H41" s="56" t="n"/>
      <c r="I41" s="57">
        <f>IF(H41="","",H41-G41)</f>
        <v/>
      </c>
      <c r="J41" s="58">
        <f>IF(OR(H41="",H41=0),"",(H41-G41)/H41)</f>
        <v/>
      </c>
      <c r="K41" s="59" t="inlineStr">
        <is>
          <t>Pure software margin. Bundle is a packaging choice; no extra cost vs individual widgets.</t>
        </is>
      </c>
    </row>
    <row r="42" ht="21.75" customHeight="1" s="45">
      <c r="A42" s="49" t="inlineStr">
        <is>
          <t>LED Background (iteration 0005) — 8K-capable looped reception backdrop, USB delivery</t>
        </is>
      </c>
    </row>
    <row r="43" ht="36" customHeight="1" s="45">
      <c r="A43" s="50" t="inlineStr">
        <is>
          <t>LE-FREE</t>
        </is>
      </c>
      <c r="B43" s="51" t="inlineStr">
        <is>
          <t>LED Background (0005)</t>
        </is>
      </c>
      <c r="C43" s="50" t="inlineStr">
        <is>
          <t>LED template picker + preview</t>
        </is>
      </c>
      <c r="D43" s="52" t="inlineStr">
        <is>
          <t>Browse the LED template library, preview against couple's monogram + photos, no-charge until render.</t>
        </is>
      </c>
      <c r="E43" s="53" t="inlineStr">
        <is>
          <t>Always Free</t>
        </is>
      </c>
      <c r="F43" s="54" t="inlineStr">
        <is>
          <t>per event</t>
        </is>
      </c>
      <c r="G43" s="55" t="n">
        <v>0</v>
      </c>
      <c r="H43" s="56" t="n"/>
      <c r="I43" s="57">
        <f>IF(H43="","",H43-G43)</f>
        <v/>
      </c>
      <c r="J43" s="58">
        <f>IF(OR(H43="",H43=0),"",(H43-G43)/H43)</f>
        <v/>
      </c>
      <c r="K43" s="59" t="inlineStr">
        <is>
          <t>Preview compositing on-demand only.</t>
        </is>
      </c>
    </row>
    <row r="44" ht="36" customHeight="1" s="45">
      <c r="A44" s="50" t="inlineStr">
        <is>
          <t>L-01</t>
        </is>
      </c>
      <c r="B44" s="51" t="inlineStr">
        <is>
          <t>LED Background (0005)</t>
        </is>
      </c>
      <c r="C44" s="50" t="inlineStr">
        <is>
          <t>LED 1080p render</t>
        </is>
      </c>
      <c r="D44" s="52" t="inlineStr">
        <is>
          <t>10-min master loop, USB delivery; venue's playback system repeats for full reception.</t>
        </is>
      </c>
      <c r="E44" s="61" t="inlineStr">
        <is>
          <t>Live V1 (xlsx)</t>
        </is>
      </c>
      <c r="F44" s="54" t="inlineStr">
        <is>
          <t>per render</t>
        </is>
      </c>
      <c r="G44" s="55" t="n">
        <v>25</v>
      </c>
      <c r="H44" s="56" t="n"/>
      <c r="I44" s="57">
        <f>IF(H44="","",H44-G44)</f>
        <v/>
      </c>
      <c r="J44" s="58">
        <f>IF(OR(H44="",H44=0),"",(H44-G44)/H44)</f>
        <v/>
      </c>
      <c r="K44" s="59" t="inlineStr">
        <is>
          <t>FFmpeg compute on Cloudflare Workers.</t>
        </is>
      </c>
    </row>
    <row r="45" ht="36" customHeight="1" s="45">
      <c r="A45" s="50" t="inlineStr">
        <is>
          <t>L-02</t>
        </is>
      </c>
      <c r="B45" s="51" t="inlineStr">
        <is>
          <t>LED Background (0005)</t>
        </is>
      </c>
      <c r="C45" s="50" t="inlineStr">
        <is>
          <t>LED 4K render</t>
        </is>
      </c>
      <c r="D45" s="52" t="inlineStr">
        <is>
          <t>10-min master loop at 4K.</t>
        </is>
      </c>
      <c r="E45" s="61" t="inlineStr">
        <is>
          <t>Live V1 (xlsx)</t>
        </is>
      </c>
      <c r="F45" s="54" t="inlineStr">
        <is>
          <t>per render</t>
        </is>
      </c>
      <c r="G45" s="55" t="n">
        <v>40</v>
      </c>
      <c r="H45" s="56" t="n"/>
      <c r="I45" s="57">
        <f>IF(H45="","",H45-G45)</f>
        <v/>
      </c>
      <c r="J45" s="58">
        <f>IF(OR(H45="",H45=0),"",(H45-G45)/H45)</f>
        <v/>
      </c>
      <c r="K45" s="59" t="inlineStr">
        <is>
          <t>FFmpeg compute (~60% more than 1080p).</t>
        </is>
      </c>
    </row>
    <row r="46" ht="36" customHeight="1" s="45">
      <c r="A46" s="50" t="inlineStr">
        <is>
          <t>L-03</t>
        </is>
      </c>
      <c r="B46" s="51" t="inlineStr">
        <is>
          <t>LED Background (0005)</t>
        </is>
      </c>
      <c r="C46" s="50" t="inlineStr">
        <is>
          <t>LED 8K render</t>
        </is>
      </c>
      <c r="D46" s="52" t="inlineStr">
        <is>
          <t>10-min master loop at 8K (~5.6 GB on USB).</t>
        </is>
      </c>
      <c r="E46" s="61" t="inlineStr">
        <is>
          <t>Live V1 (xlsx)</t>
        </is>
      </c>
      <c r="F46" s="54" t="inlineStr">
        <is>
          <t>per render</t>
        </is>
      </c>
      <c r="G46" s="55" t="n">
        <v>60</v>
      </c>
      <c r="H46" s="56" t="n"/>
      <c r="I46" s="57">
        <f>IF(H46="","",H46-G46)</f>
        <v/>
      </c>
      <c r="J46" s="58">
        <f>IF(OR(H46="",H46=0),"",(H46-G46)/H46)</f>
        <v/>
      </c>
      <c r="K46" s="59" t="inlineStr">
        <is>
          <t>FFmpeg compute. Most venues won't drive 8K — premium tier.</t>
        </is>
      </c>
    </row>
    <row r="47" ht="36" customHeight="1" s="45">
      <c r="A47" s="50" t="inlineStr">
        <is>
          <t>L-04</t>
        </is>
      </c>
      <c r="B47" s="51" t="inlineStr">
        <is>
          <t>LED Background (0005)</t>
        </is>
      </c>
      <c r="C47" s="50" t="inlineStr">
        <is>
          <t>LED Custom resolution</t>
        </is>
      </c>
      <c r="D47" s="52" t="inlineStr">
        <is>
          <t>Up to 90-min loops (zero looping for full event).</t>
        </is>
      </c>
      <c r="E47" s="61" t="inlineStr">
        <is>
          <t>Live V1 (xlsx)</t>
        </is>
      </c>
      <c r="F47" s="54" t="inlineStr">
        <is>
          <t>per render</t>
        </is>
      </c>
      <c r="G47" s="55" t="n">
        <v>80</v>
      </c>
      <c r="H47" s="56" t="n"/>
      <c r="I47" s="57">
        <f>IF(H47="","",H47-G47)</f>
        <v/>
      </c>
      <c r="J47" s="58">
        <f>IF(OR(H47="",H47=0),"",(H47-G47)/H47)</f>
        <v/>
      </c>
      <c r="K47" s="59" t="inlineStr">
        <is>
          <t>Estimate — longer renders + custom resolutions take more compute.</t>
        </is>
      </c>
    </row>
    <row r="48" ht="36" customHeight="1" s="45">
      <c r="A48" s="50" t="inlineStr">
        <is>
          <t>L-05</t>
        </is>
      </c>
      <c r="B48" s="51" t="inlineStr">
        <is>
          <t>LED Background (0005)</t>
        </is>
      </c>
      <c r="C48" s="50" t="inlineStr">
        <is>
          <t>LED Photo Pool blend</t>
        </is>
      </c>
      <c r="D48" s="52" t="inlineStr">
        <is>
          <t>Couple's photos rotate per loop iteration so 30 repeats feel fresh.</t>
        </is>
      </c>
      <c r="E48" s="61" t="inlineStr">
        <is>
          <t>Live V1 (xlsx)</t>
        </is>
      </c>
      <c r="F48" s="54" t="inlineStr">
        <is>
          <t>per render</t>
        </is>
      </c>
      <c r="G48" s="55" t="n">
        <v>100</v>
      </c>
      <c r="H48" s="56" t="n"/>
      <c r="I48" s="57">
        <f>IF(H48="","",H48-G48)</f>
        <v/>
      </c>
      <c r="J48" s="58">
        <f>IF(OR(H48="",H48=0),"",(H48-G48)/H48)</f>
        <v/>
      </c>
      <c r="K48" s="59" t="inlineStr">
        <is>
          <t>Estimate — image processing + multi-pass encoding.</t>
        </is>
      </c>
    </row>
    <row r="49" ht="36" customHeight="1" s="45">
      <c r="A49" s="50" t="inlineStr">
        <is>
          <t>L-06</t>
        </is>
      </c>
      <c r="B49" s="51" t="inlineStr">
        <is>
          <t>LED Background (0005)</t>
        </is>
      </c>
      <c r="C49" s="50" t="inlineStr">
        <is>
          <t>LED Ultrawide &gt;21:9</t>
        </is>
      </c>
      <c r="D49" s="52" t="inlineStr">
        <is>
          <t>Beyond 21:9 aspect for ultra-wide LED walls.</t>
        </is>
      </c>
      <c r="E49" s="61" t="inlineStr">
        <is>
          <t>Live V1 (xlsx)</t>
        </is>
      </c>
      <c r="F49" s="54" t="inlineStr">
        <is>
          <t>per render</t>
        </is>
      </c>
      <c r="G49" s="55" t="n">
        <v>70</v>
      </c>
      <c r="H49" s="56" t="n"/>
      <c r="I49" s="57">
        <f>IF(H49="","",H49-G49)</f>
        <v/>
      </c>
      <c r="J49" s="58">
        <f>IF(OR(H49="",H49=0),"",(H49-G49)/H49)</f>
        <v/>
      </c>
      <c r="K49" s="59" t="inlineStr">
        <is>
          <t>Estimate — non-standard aspect ratios add re-encode cost.</t>
        </is>
      </c>
    </row>
    <row r="50" ht="36" customHeight="1" s="45">
      <c r="A50" s="50" t="inlineStr">
        <is>
          <t>L-07</t>
        </is>
      </c>
      <c r="B50" s="51" t="inlineStr">
        <is>
          <t>LED Background (0005)</t>
        </is>
      </c>
      <c r="C50" s="50" t="inlineStr">
        <is>
          <t>LED Live playback URL</t>
        </is>
      </c>
      <c r="D50" s="52" t="inlineStr">
        <is>
          <t>Streamable URL fallback (vs USB delivery).</t>
        </is>
      </c>
      <c r="E50" s="61" t="inlineStr">
        <is>
          <t>Live V1 (xlsx)</t>
        </is>
      </c>
      <c r="F50" s="54" t="inlineStr">
        <is>
          <t>per event</t>
        </is>
      </c>
      <c r="G50" s="55" t="n">
        <v>8</v>
      </c>
      <c r="H50" s="56" t="n"/>
      <c r="I50" s="57">
        <f>IF(H50="","",H50-G50)</f>
        <v/>
      </c>
      <c r="J50" s="58">
        <f>IF(OR(H50="",H50=0),"",(H50-G50)/H50)</f>
        <v/>
      </c>
      <c r="K50" s="59" t="inlineStr">
        <is>
          <t>R2 storage + bandwidth. Cheap because R2 egress is free on Cloudflare.</t>
        </is>
      </c>
    </row>
    <row r="51" ht="21.75" customHeight="1" s="45">
      <c r="A51" s="49" t="inlineStr">
        <is>
          <t>Vendors Management (iteration 0006) — couple-encoded vendor records; vendor money is external</t>
        </is>
      </c>
    </row>
    <row r="52" ht="36" customHeight="1" s="45">
      <c r="A52" s="50" t="inlineStr">
        <is>
          <t>VM-01</t>
        </is>
      </c>
      <c r="B52" s="51" t="inlineStr">
        <is>
          <t>Vendors (0006)</t>
        </is>
      </c>
      <c r="C52" s="50" t="inlineStr">
        <is>
          <t>Vendor record creation</t>
        </is>
      </c>
      <c r="D52" s="52" t="inlineStr">
        <is>
          <t>Couple manually encodes vendor (name, contact, services, package). 28 canonical service categories + custom rows per event.</t>
        </is>
      </c>
      <c r="E52" s="53" t="inlineStr">
        <is>
          <t>Always Free</t>
        </is>
      </c>
      <c r="F52" s="54" t="inlineStr">
        <is>
          <t>per vendor</t>
        </is>
      </c>
      <c r="G52" s="55" t="n">
        <v>0</v>
      </c>
      <c r="H52" s="56" t="n"/>
      <c r="I52" s="57">
        <f>IF(H52="","",H52-G52)</f>
        <v/>
      </c>
      <c r="J52" s="58">
        <f>IF(OR(H52="",H52=0),"",(H52-G52)/H52)</f>
        <v/>
      </c>
      <c r="K52" s="59" t="inlineStr">
        <is>
          <t>Database storage. Vendor self-input deferred to Din.</t>
        </is>
      </c>
    </row>
    <row r="53" ht="36" customHeight="1" s="45">
      <c r="A53" s="50" t="inlineStr">
        <is>
          <t>VM-02</t>
        </is>
      </c>
      <c r="B53" s="51" t="inlineStr">
        <is>
          <t>Vendors (0006)</t>
        </is>
      </c>
      <c r="C53" s="50" t="inlineStr">
        <is>
          <t>Flexible payment milestones</t>
        </is>
      </c>
      <c r="D53" s="52" t="inlineStr">
        <is>
          <t>Each vendor has any number of milestones with custom labels, due dates, amounts, paid status. UI presets for common patterns.</t>
        </is>
      </c>
      <c r="E53" s="53" t="inlineStr">
        <is>
          <t>Always Free</t>
        </is>
      </c>
      <c r="F53" s="54" t="inlineStr">
        <is>
          <t>per vendor</t>
        </is>
      </c>
      <c r="G53" s="55" t="n">
        <v>0</v>
      </c>
      <c r="H53" s="56" t="n"/>
      <c r="I53" s="57">
        <f>IF(H53="","",H53-G53)</f>
        <v/>
      </c>
      <c r="J53" s="58">
        <f>IF(OR(H53="",H53=0),"",(H53-G53)/H53)</f>
        <v/>
      </c>
      <c r="K53" s="59" t="inlineStr">
        <is>
          <t>—</t>
        </is>
      </c>
    </row>
    <row r="54" ht="36" customHeight="1" s="45">
      <c r="A54" s="50" t="inlineStr">
        <is>
          <t>VM-03</t>
        </is>
      </c>
      <c r="B54" s="51" t="inlineStr">
        <is>
          <t>Vendors (0006)</t>
        </is>
      </c>
      <c r="C54" s="50" t="inlineStr">
        <is>
          <t>Crew meal computation</t>
        </is>
      </c>
      <c r="D54" s="52" t="inlineStr">
        <is>
          <t>Count × per-meal cost = computed total. Vendor-provides-meals toggle. Rolls up to event aggregate.</t>
        </is>
      </c>
      <c r="E54" s="53" t="inlineStr">
        <is>
          <t>Always Free</t>
        </is>
      </c>
      <c r="F54" s="54" t="inlineStr">
        <is>
          <t>per event</t>
        </is>
      </c>
      <c r="G54" s="55" t="n">
        <v>0</v>
      </c>
      <c r="H54" s="56" t="n"/>
      <c r="I54" s="57">
        <f>IF(H54="","",H54-G54)</f>
        <v/>
      </c>
      <c r="J54" s="58">
        <f>IF(OR(H54="",H54=0),"",(H54-G54)/H54)</f>
        <v/>
      </c>
      <c r="K54" s="59" t="inlineStr">
        <is>
          <t>—</t>
        </is>
      </c>
    </row>
    <row r="55" ht="36" customHeight="1" s="45">
      <c r="A55" s="50" t="inlineStr">
        <is>
          <t>VM-04</t>
        </is>
      </c>
      <c r="B55" s="51" t="inlineStr">
        <is>
          <t>Vendors (0006)</t>
        </is>
      </c>
      <c r="C55" s="50" t="inlineStr">
        <is>
          <t>R2 contract storage</t>
        </is>
      </c>
      <c r="D55" s="52" t="inlineStr">
        <is>
          <t>Couple uploads signed contracts; auto-attached to vendor record.</t>
        </is>
      </c>
      <c r="E55" s="53" t="inlineStr">
        <is>
          <t>Always Free</t>
        </is>
      </c>
      <c r="F55" s="54" t="inlineStr">
        <is>
          <t>per upload</t>
        </is>
      </c>
      <c r="G55" s="55" t="n">
        <v>0</v>
      </c>
      <c r="H55" s="56" t="n"/>
      <c r="I55" s="57">
        <f>IF(H55="","",H55-G55)</f>
        <v/>
      </c>
      <c r="J55" s="58">
        <f>IF(OR(H55="",H55=0),"",(H55-G55)/H55)</f>
        <v/>
      </c>
      <c r="K55" s="59" t="inlineStr">
        <is>
          <t>R2 storage; couple-side download free.</t>
        </is>
      </c>
    </row>
    <row r="56" ht="36" customHeight="1" s="45">
      <c r="A56" s="50" t="inlineStr">
        <is>
          <t>VM-05</t>
        </is>
      </c>
      <c r="B56" s="51" t="inlineStr">
        <is>
          <t>Vendors (0006)</t>
        </is>
      </c>
      <c r="C56" s="50" t="inlineStr">
        <is>
          <t>Vendor meetings module</t>
        </is>
      </c>
      <c r="D56" s="52" t="inlineStr">
        <is>
          <t>List of meetings per vendor (consult, tasting, walkthrough, fitting) with mode (in-person/video/phone), agenda, notes.</t>
        </is>
      </c>
      <c r="E56" s="53" t="inlineStr">
        <is>
          <t>Always Free</t>
        </is>
      </c>
      <c r="F56" s="54" t="inlineStr">
        <is>
          <t>per meeting</t>
        </is>
      </c>
      <c r="G56" s="55" t="n">
        <v>0</v>
      </c>
      <c r="H56" s="56" t="n"/>
      <c r="I56" s="57">
        <f>IF(H56="","",H56-G56)</f>
        <v/>
      </c>
      <c r="J56" s="58">
        <f>IF(OR(H56="",H56=0),"",(H56-G56)/H56)</f>
        <v/>
      </c>
      <c r="K56" s="59" t="inlineStr">
        <is>
          <t>—</t>
        </is>
      </c>
    </row>
    <row r="57" ht="36" customHeight="1" s="45">
      <c r="A57" s="50" t="inlineStr">
        <is>
          <t>VM-06</t>
        </is>
      </c>
      <c r="B57" s="51" t="inlineStr">
        <is>
          <t>Vendors (0006)</t>
        </is>
      </c>
      <c r="C57" s="50" t="inlineStr">
        <is>
          <t>Coverage rollup + checklist</t>
        </is>
      </c>
      <c r="D57" s="52" t="inlineStr">
        <is>
          <t>Couple sees which canonical categories are filled vs missing across the 28-category list.</t>
        </is>
      </c>
      <c r="E57" s="53" t="inlineStr">
        <is>
          <t>Always Free</t>
        </is>
      </c>
      <c r="F57" s="54" t="inlineStr">
        <is>
          <t>per event</t>
        </is>
      </c>
      <c r="G57" s="55" t="n">
        <v>0</v>
      </c>
      <c r="H57" s="56" t="n"/>
      <c r="I57" s="57">
        <f>IF(H57="","",H57-G57)</f>
        <v/>
      </c>
      <c r="J57" s="58">
        <f>IF(OR(H57="",H57=0),"",(H57-G57)/H57)</f>
        <v/>
      </c>
      <c r="K57" s="59" t="inlineStr">
        <is>
          <t>Computed view.</t>
        </is>
      </c>
    </row>
    <row r="58" ht="21.75" customHeight="1" s="45">
      <c r="A58" s="49" t="inlineStr">
        <is>
          <t>Budget &amp; Expenses (iteration 0007) — couple's payment ledger; PHP only, no targets in V1</t>
        </is>
      </c>
    </row>
    <row r="59" ht="36" customHeight="1" s="45">
      <c r="A59" s="50" t="inlineStr">
        <is>
          <t>BUD-01</t>
        </is>
      </c>
      <c r="B59" s="51" t="inlineStr">
        <is>
          <t>Budget (0007)</t>
        </is>
      </c>
      <c r="C59" s="50" t="inlineStr">
        <is>
          <t>3 line items per vendor</t>
        </is>
      </c>
      <c r="D59" s="52" t="inlineStr">
        <is>
          <t>Package / Crew Meal / Transportation. Each with own deadline + payment log.</t>
        </is>
      </c>
      <c r="E59" s="53" t="inlineStr">
        <is>
          <t>Always Free</t>
        </is>
      </c>
      <c r="F59" s="54" t="inlineStr">
        <is>
          <t>per vendor</t>
        </is>
      </c>
      <c r="G59" s="55" t="n">
        <v>0</v>
      </c>
      <c r="H59" s="56" t="n"/>
      <c r="I59" s="57">
        <f>IF(H59="","",H59-G59)</f>
        <v/>
      </c>
      <c r="J59" s="58">
        <f>IF(OR(H59="",H59=0),"",(H59-G59)/H59)</f>
        <v/>
      </c>
      <c r="K59" s="59" t="inlineStr">
        <is>
          <t>—</t>
        </is>
      </c>
    </row>
    <row r="60" ht="36" customHeight="1" s="45">
      <c r="A60" s="50" t="inlineStr">
        <is>
          <t>BUD-02</t>
        </is>
      </c>
      <c r="B60" s="51" t="inlineStr">
        <is>
          <t>Budget (0007)</t>
        </is>
      </c>
      <c r="C60" s="50" t="inlineStr">
        <is>
          <t>Payment log with proof</t>
        </is>
      </c>
      <c r="D60" s="52" t="inlineStr">
        <is>
          <t>Per-line payment records (amount, date, method, reference, screenshot proof).</t>
        </is>
      </c>
      <c r="E60" s="53" t="inlineStr">
        <is>
          <t>Always Free</t>
        </is>
      </c>
      <c r="F60" s="54" t="inlineStr">
        <is>
          <t>per payment</t>
        </is>
      </c>
      <c r="G60" s="55" t="n">
        <v>0</v>
      </c>
      <c r="H60" s="56" t="n"/>
      <c r="I60" s="57">
        <f>IF(H60="","",H60-G60)</f>
        <v/>
      </c>
      <c r="J60" s="58">
        <f>IF(OR(H60="",H60=0),"",(H60-G60)/H60)</f>
        <v/>
      </c>
      <c r="K60" s="59" t="inlineStr">
        <is>
          <t>R2 storage for proofs.</t>
        </is>
      </c>
    </row>
    <row r="61" ht="36" customHeight="1" s="45">
      <c r="A61" s="50" t="inlineStr">
        <is>
          <t>BUD-03</t>
        </is>
      </c>
      <c r="B61" s="51" t="inlineStr">
        <is>
          <t>Budget (0007)</t>
        </is>
      </c>
      <c r="C61" s="50" t="inlineStr">
        <is>
          <t>Vendor QR (scan-to-pay)</t>
        </is>
      </c>
      <c r="D61" s="52" t="inlineStr">
        <is>
          <t>Vendor's GCash/Maya/bank QR displayed per line; couple taps to scan and settle.</t>
        </is>
      </c>
      <c r="E61" s="53" t="inlineStr">
        <is>
          <t>Always Free</t>
        </is>
      </c>
      <c r="F61" s="54" t="inlineStr">
        <is>
          <t>per vendor</t>
        </is>
      </c>
      <c r="G61" s="55" t="n">
        <v>0</v>
      </c>
      <c r="H61" s="56" t="n"/>
      <c r="I61" s="57">
        <f>IF(H61="","",H61-G61)</f>
        <v/>
      </c>
      <c r="J61" s="58">
        <f>IF(OR(H61="",H61=0),"",(H61-G61)/H61)</f>
        <v/>
      </c>
      <c r="K61" s="59" t="inlineStr">
        <is>
          <t>QR display only.</t>
        </is>
      </c>
    </row>
    <row r="62" ht="36" customHeight="1" s="45">
      <c r="A62" s="50" t="inlineStr">
        <is>
          <t>BUD-04</t>
        </is>
      </c>
      <c r="B62" s="51" t="inlineStr">
        <is>
          <t>Budget (0007)</t>
        </is>
      </c>
      <c r="C62" s="50" t="inlineStr">
        <is>
          <t>Calendar export (.ics)</t>
        </is>
      </c>
      <c r="D62" s="52" t="inlineStr">
        <is>
          <t>Universal Apple/Google/Outlook export with stable VEVENT UIDs (re-imports update existing entries).</t>
        </is>
      </c>
      <c r="E62" s="53" t="inlineStr">
        <is>
          <t>Always Free</t>
        </is>
      </c>
      <c r="F62" s="54" t="inlineStr">
        <is>
          <t>per export</t>
        </is>
      </c>
      <c r="G62" s="55" t="n">
        <v>0</v>
      </c>
      <c r="H62" s="56" t="n"/>
      <c r="I62" s="57">
        <f>IF(H62="","",H62-G62)</f>
        <v/>
      </c>
      <c r="J62" s="58">
        <f>IF(OR(H62="",H62=0),"",(H62-G62)/H62)</f>
        <v/>
      </c>
      <c r="K62" s="59" t="inlineStr">
        <is>
          <t>—</t>
        </is>
      </c>
    </row>
    <row r="63" ht="36" customHeight="1" s="45">
      <c r="A63" s="50" t="inlineStr">
        <is>
          <t>BUD-05</t>
        </is>
      </c>
      <c r="B63" s="51" t="inlineStr">
        <is>
          <t>Budget (0007)</t>
        </is>
      </c>
      <c r="C63" s="50" t="inlineStr">
        <is>
          <t>In-UI reminders (24h + 1h before)</t>
        </is>
      </c>
      <c r="D63" s="52" t="inlineStr">
        <is>
          <t>Default reminders per deadline; per-line tracked_in_calendar toggle handles dedup with native calendars.</t>
        </is>
      </c>
      <c r="E63" s="53" t="inlineStr">
        <is>
          <t>Always Free</t>
        </is>
      </c>
      <c r="F63" s="54" t="inlineStr">
        <is>
          <t>per reminder</t>
        </is>
      </c>
      <c r="G63" s="55" t="n">
        <v>0</v>
      </c>
      <c r="H63" s="56" t="n"/>
      <c r="I63" s="57">
        <f>IF(H63="","",H63-G63)</f>
        <v/>
      </c>
      <c r="J63" s="58">
        <f>IF(OR(H63="",H63=0),"",(H63-G63)/H63)</f>
        <v/>
      </c>
      <c r="K63" s="59" t="inlineStr">
        <is>
          <t>—</t>
        </is>
      </c>
    </row>
    <row r="64" ht="36" customHeight="1" s="45">
      <c r="A64" s="50" t="inlineStr">
        <is>
          <t>BUD-06</t>
        </is>
      </c>
      <c r="B64" s="51" t="inlineStr">
        <is>
          <t>Budget (0007)</t>
        </is>
      </c>
      <c r="C64" s="50" t="inlineStr">
        <is>
          <t>Misc free-form expenses</t>
        </is>
      </c>
      <c r="D64" s="52" t="inlineStr">
        <is>
          <t>Out-of-vendor purchases (decor materials, gifts, etc.).</t>
        </is>
      </c>
      <c r="E64" s="53" t="inlineStr">
        <is>
          <t>Always Free</t>
        </is>
      </c>
      <c r="F64" s="54" t="inlineStr">
        <is>
          <t>per expense</t>
        </is>
      </c>
      <c r="G64" s="55" t="n">
        <v>0</v>
      </c>
      <c r="H64" s="56" t="n"/>
      <c r="I64" s="57">
        <f>IF(H64="","",H64-G64)</f>
        <v/>
      </c>
      <c r="J64" s="58">
        <f>IF(OR(H64="",H64=0),"",(H64-G64)/H64)</f>
        <v/>
      </c>
      <c r="K64" s="59" t="inlineStr">
        <is>
          <t>—</t>
        </is>
      </c>
    </row>
    <row r="65" ht="36" customHeight="1" s="45">
      <c r="A65" s="50" t="inlineStr">
        <is>
          <t>BUD-07</t>
        </is>
      </c>
      <c r="B65" s="51" t="inlineStr">
        <is>
          <t>Budget (0007)</t>
        </is>
      </c>
      <c r="C65" s="50" t="inlineStr">
        <is>
          <t>Setnayan platform cost auto-populate</t>
        </is>
      </c>
      <c r="D65" s="52" t="inlineStr">
        <is>
          <t>Read-only line items showing what couple has spent on Setnayan subscriptions / one-time SKUs. Pulled from billing rail.</t>
        </is>
      </c>
      <c r="E65" s="53" t="inlineStr">
        <is>
          <t>Always Free</t>
        </is>
      </c>
      <c r="F65" s="54" t="inlineStr">
        <is>
          <t>per event</t>
        </is>
      </c>
      <c r="G65" s="55" t="n">
        <v>0</v>
      </c>
      <c r="H65" s="56" t="n"/>
      <c r="I65" s="57">
        <f>IF(H65="","",H65-G65)</f>
        <v/>
      </c>
      <c r="J65" s="58">
        <f>IF(OR(H65="",H65=0),"",(H65-G65)/H65)</f>
        <v/>
      </c>
      <c r="K65" s="59" t="inlineStr">
        <is>
          <t>Computed view.</t>
        </is>
      </c>
    </row>
    <row r="66" ht="21.75" customHeight="1" s="45">
      <c r="A66" s="49" t="inlineStr">
        <is>
          <t>Seating Chart (iteration 0008) — full reception layout: tables + stage + band + dancefloor + doors</t>
        </is>
      </c>
    </row>
    <row r="67" ht="36" customHeight="1" s="45">
      <c r="A67" s="50" t="inlineStr">
        <is>
          <t>SC-01</t>
        </is>
      </c>
      <c r="B67" s="51" t="inlineStr">
        <is>
          <t>Seating (0008)</t>
        </is>
      </c>
      <c r="C67" s="50" t="inlineStr">
        <is>
          <t>13-entry table catalog</t>
        </is>
      </c>
      <c r="D67" s="52" t="inlineStr">
        <is>
          <t>Round (8/10/12), Long banquet (6/8/10), Family head — long rectangular (12/14/16), Sweetheart (2), Serpentine (10/14/18).</t>
        </is>
      </c>
      <c r="E67" s="53" t="inlineStr">
        <is>
          <t>Always Free</t>
        </is>
      </c>
      <c r="F67" s="54" t="inlineStr">
        <is>
          <t>per event</t>
        </is>
      </c>
      <c r="G67" s="55" t="n">
        <v>0</v>
      </c>
      <c r="H67" s="56" t="n"/>
      <c r="I67" s="57">
        <f>IF(H67="","",H67-G67)</f>
        <v/>
      </c>
      <c r="J67" s="58">
        <f>IF(OR(H67="",H67=0),"",(H67-G67)/H67)</f>
        <v/>
      </c>
      <c r="K67" s="59" t="inlineStr">
        <is>
          <t>Capacity bound to type. Custom shapes deferred to V1.1.</t>
        </is>
      </c>
    </row>
    <row r="68" ht="36" customHeight="1" s="45">
      <c r="A68" s="50" t="inlineStr">
        <is>
          <t>SC-02</t>
        </is>
      </c>
      <c r="B68" s="51" t="inlineStr">
        <is>
          <t>Seating (0008)</t>
        </is>
      </c>
      <c r="C68" s="50" t="inlineStr">
        <is>
          <t>Free-form stage placement</t>
        </is>
      </c>
      <c r="D68" s="52" t="inlineStr">
        <is>
          <t>Stage anywhere on canvas (top/bottom/left/right edge or true center for in-the-round).</t>
        </is>
      </c>
      <c r="E68" s="53" t="inlineStr">
        <is>
          <t>Always Free</t>
        </is>
      </c>
      <c r="F68" s="54" t="inlineStr">
        <is>
          <t>per event</t>
        </is>
      </c>
      <c r="G68" s="55" t="n">
        <v>0</v>
      </c>
      <c r="H68" s="56" t="n"/>
      <c r="I68" s="57">
        <f>IF(H68="","",H68-G68)</f>
        <v/>
      </c>
      <c r="J68" s="58">
        <f>IF(OR(H68="",H68=0),"",(H68-G68)/H68)</f>
        <v/>
      </c>
      <c r="K68" s="59" t="inlineStr">
        <is>
          <t>—</t>
        </is>
      </c>
    </row>
    <row r="69" ht="36" customHeight="1" s="45">
      <c r="A69" s="50" t="inlineStr">
        <is>
          <t>SC-03</t>
        </is>
      </c>
      <c r="B69" s="51" t="inlineStr">
        <is>
          <t>Seating (0008)</t>
        </is>
      </c>
      <c r="C69" s="50" t="inlineStr">
        <is>
          <t>Floor plan elements</t>
        </is>
      </c>
      <c r="D69" s="52" t="inlineStr">
        <is>
          <t>Stage + optional band platform + optional dancefloor (no tables inside) + at least one main entrance door (snaps to walls).</t>
        </is>
      </c>
      <c r="E69" s="53" t="inlineStr">
        <is>
          <t>Always Free</t>
        </is>
      </c>
      <c r="F69" s="54" t="inlineStr">
        <is>
          <t>per event</t>
        </is>
      </c>
      <c r="G69" s="55" t="n">
        <v>0</v>
      </c>
      <c r="H69" s="56" t="n"/>
      <c r="I69" s="57">
        <f>IF(H69="","",H69-G69)</f>
        <v/>
      </c>
      <c r="J69" s="58">
        <f>IF(OR(H69="",H69=0),"",(H69-G69)/H69)</f>
        <v/>
      </c>
      <c r="K69" s="59" t="inlineStr">
        <is>
          <t>—</t>
        </is>
      </c>
    </row>
    <row r="70" ht="36" customHeight="1" s="45">
      <c r="A70" s="50" t="inlineStr">
        <is>
          <t>SC-04</t>
        </is>
      </c>
      <c r="B70" s="51" t="inlineStr">
        <is>
          <t>Seating (0008)</t>
        </is>
      </c>
      <c r="C70" s="50" t="inlineStr">
        <is>
          <t>Optional venue dimensions</t>
        </is>
      </c>
      <c r="D70" s="52" t="inlineStr">
        <is>
          <t>Couple flips a toggle to set venue width × length in metres; editor renders walls at scale and bounds placement.</t>
        </is>
      </c>
      <c r="E70" s="53" t="inlineStr">
        <is>
          <t>Always Free</t>
        </is>
      </c>
      <c r="F70" s="54" t="inlineStr">
        <is>
          <t>per event</t>
        </is>
      </c>
      <c r="G70" s="55" t="n">
        <v>0</v>
      </c>
      <c r="H70" s="56" t="n"/>
      <c r="I70" s="57">
        <f>IF(H70="","",H70-G70)</f>
        <v/>
      </c>
      <c r="J70" s="58">
        <f>IF(OR(H70="",H70=0),"",(H70-G70)/H70)</f>
        <v/>
      </c>
      <c r="K70" s="59" t="inlineStr">
        <is>
          <t>Optional precision.</t>
        </is>
      </c>
    </row>
    <row r="71" ht="36" customHeight="1" s="45">
      <c r="A71" s="50" t="inlineStr">
        <is>
          <t>SC-05</t>
        </is>
      </c>
      <c r="B71" s="51" t="inlineStr">
        <is>
          <t>Seating (0008)</t>
        </is>
      </c>
      <c r="C71" s="50" t="inlineStr">
        <is>
          <t>Role-tier ring auto-fill</t>
        </is>
      </c>
      <c r="D71" s="52" t="inlineStr">
        <is>
          <t>Tier 1 (principal sponsors / officiant / immediate family) innermost; Tier 4 (friends/work/school) outermost.</t>
        </is>
      </c>
      <c r="E71" s="53" t="inlineStr">
        <is>
          <t>Always Free</t>
        </is>
      </c>
      <c r="F71" s="54" t="inlineStr">
        <is>
          <t>per event</t>
        </is>
      </c>
      <c r="G71" s="55" t="n">
        <v>0</v>
      </c>
      <c r="H71" s="56" t="n"/>
      <c r="I71" s="57">
        <f>IF(H71="","",H71-G71)</f>
        <v/>
      </c>
      <c r="J71" s="58">
        <f>IF(OR(H71="",H71=0),"",(H71-G71)/H71)</f>
        <v/>
      </c>
      <c r="K71" s="59" t="inlineStr">
        <is>
          <t>Skips locked tables.</t>
        </is>
      </c>
    </row>
    <row r="72" ht="36" customHeight="1" s="45">
      <c r="A72" s="50" t="inlineStr">
        <is>
          <t>SC-06</t>
        </is>
      </c>
      <c r="B72" s="51" t="inlineStr">
        <is>
          <t>Seating (0008)</t>
        </is>
      </c>
      <c r="C72" s="50" t="inlineStr">
        <is>
          <t>Chair-level interactions</t>
        </is>
      </c>
      <c r="D72" s="52" t="inlineStr">
        <is>
          <t>Tap chair to swap that guest's seat; long-press chair for guest details; tap table body to swap whole table; long-press for table settings.</t>
        </is>
      </c>
      <c r="E72" s="53" t="inlineStr">
        <is>
          <t>Always Free</t>
        </is>
      </c>
      <c r="F72" s="54" t="inlineStr">
        <is>
          <t>per event</t>
        </is>
      </c>
      <c r="G72" s="55" t="n">
        <v>0</v>
      </c>
      <c r="H72" s="56" t="n"/>
      <c r="I72" s="57">
        <f>IF(H72="","",H72-G72)</f>
        <v/>
      </c>
      <c r="J72" s="58">
        <f>IF(OR(H72="",H72=0),"",(H72-G72)/H72)</f>
        <v/>
      </c>
      <c r="K72" s="59" t="inlineStr">
        <is>
          <t>—</t>
        </is>
      </c>
    </row>
    <row r="73" ht="36" customHeight="1" s="45">
      <c r="A73" s="50" t="inlineStr">
        <is>
          <t>SC-07</t>
        </is>
      </c>
      <c r="B73" s="51" t="inlineStr">
        <is>
          <t>Seating (0008)</t>
        </is>
      </c>
      <c r="C73" s="50" t="inlineStr">
        <is>
          <t>Alignment lock + snap guides</t>
        </is>
      </c>
      <c r="D73" s="52" t="inlineStr">
        <is>
          <t>Pink horizontal/vertical guide lines snap moving table to nearby stationary tables. Toggleable.</t>
        </is>
      </c>
      <c r="E73" s="53" t="inlineStr">
        <is>
          <t>Always Free</t>
        </is>
      </c>
      <c r="F73" s="54" t="inlineStr">
        <is>
          <t>per event</t>
        </is>
      </c>
      <c r="G73" s="55" t="n">
        <v>0</v>
      </c>
      <c r="H73" s="56" t="n"/>
      <c r="I73" s="57">
        <f>IF(H73="","",H73-G73)</f>
        <v/>
      </c>
      <c r="J73" s="58">
        <f>IF(OR(H73="",H73=0),"",(H73-G73)/H73)</f>
        <v/>
      </c>
      <c r="K73" s="59" t="inlineStr">
        <is>
          <t>—</t>
        </is>
      </c>
    </row>
    <row r="74" ht="36" customHeight="1" s="45">
      <c r="A74" s="50" t="inlineStr">
        <is>
          <t>SC-08</t>
        </is>
      </c>
      <c r="B74" s="51" t="inlineStr">
        <is>
          <t>Seating (0008)</t>
        </is>
      </c>
      <c r="C74" s="50" t="inlineStr">
        <is>
          <t>Print pack on Publish</t>
        </is>
      </c>
      <c r="D74" s="52" t="inlineStr">
        <is>
          <t>Table QR tokens minted at Publish; downloadable PDF print pack (place cards + table signs).</t>
        </is>
      </c>
      <c r="E74" s="53" t="inlineStr">
        <is>
          <t>Always Free</t>
        </is>
      </c>
      <c r="F74" s="54" t="inlineStr">
        <is>
          <t>per event</t>
        </is>
      </c>
      <c r="G74" s="55" t="n">
        <v>0</v>
      </c>
      <c r="H74" s="56" t="n"/>
      <c r="I74" s="57">
        <f>IF(H74="","",H74-G74)</f>
        <v/>
      </c>
      <c r="J74" s="58">
        <f>IF(OR(H74="",H74=0),"",(H74-G74)/H74)</f>
        <v/>
      </c>
      <c r="K74" s="59" t="inlineStr">
        <is>
          <t>Token minting + PDF generation.</t>
        </is>
      </c>
    </row>
    <row r="75" ht="36" customHeight="1" s="45">
      <c r="A75" s="50" t="inlineStr">
        <is>
          <t>SC-09</t>
        </is>
      </c>
      <c r="B75" s="51" t="inlineStr">
        <is>
          <t>Seating (0008)</t>
        </is>
      </c>
      <c r="C75" s="50" t="inlineStr">
        <is>
          <t>Peer guest-to-guest tagging via QR</t>
        </is>
      </c>
      <c r="D75" s="52" t="inlineStr">
        <is>
          <t>Scanning a guest's personal QR is the only way to tag them. Tag-once trust handshake (one scan = consent for the rest of the event).</t>
        </is>
      </c>
      <c r="E75" s="53" t="inlineStr">
        <is>
          <t>Always Free</t>
        </is>
      </c>
      <c r="F75" s="54" t="inlineStr">
        <is>
          <t>per scan</t>
        </is>
      </c>
      <c r="G75" s="55" t="n">
        <v>0</v>
      </c>
      <c r="H75" s="56" t="n"/>
      <c r="I75" s="57">
        <f>IF(H75="","",H75-G75)</f>
        <v/>
      </c>
      <c r="J75" s="58">
        <f>IF(OR(H75="",H75=0),"",(H75-G75)/H75)</f>
        <v/>
      </c>
      <c r="K75" s="59" t="inlineStr">
        <is>
          <t>Privacy-by-default — no roster picker.</t>
        </is>
      </c>
    </row>
    <row r="76" ht="21.75" customHeight="1" s="45">
      <c r="A76" s="49" t="inlineStr">
        <is>
          <t>Photo Delivery (iteration 0009)</t>
        </is>
      </c>
    </row>
    <row r="77" ht="36" customHeight="1" s="45">
      <c r="A77" s="50" t="inlineStr">
        <is>
          <t>PD-FREE</t>
        </is>
      </c>
      <c r="B77" s="51" t="inlineStr">
        <is>
          <t>Photo Delivery (0009)</t>
        </is>
      </c>
      <c r="C77" s="50" t="inlineStr">
        <is>
          <t>Couple gallery (web)</t>
        </is>
      </c>
      <c r="D77" s="52" t="inlineStr">
        <is>
          <t>Couple sees every uploaded photo + clip in a chronological gallery with tag filters. Free.</t>
        </is>
      </c>
      <c r="E77" s="53" t="inlineStr">
        <is>
          <t>Always Free</t>
        </is>
      </c>
      <c r="F77" s="54" t="inlineStr">
        <is>
          <t>per event</t>
        </is>
      </c>
      <c r="G77" s="55" t="n">
        <v>0</v>
      </c>
      <c r="H77" s="56" t="n"/>
      <c r="I77" s="57">
        <f>IF(H77="","",H77-G77)</f>
        <v/>
      </c>
      <c r="J77" s="58">
        <f>IF(OR(H77="",H77=0),"",(H77-G77)/H77)</f>
        <v/>
      </c>
      <c r="K77" s="59" t="inlineStr">
        <is>
          <t>R2 storage tier paid by paparazzi seats; viewing is free.</t>
        </is>
      </c>
    </row>
    <row r="78" ht="36" customHeight="1" s="45">
      <c r="A78" s="50" t="inlineStr">
        <is>
          <t>PD-01</t>
        </is>
      </c>
      <c r="B78" s="51" t="inlineStr">
        <is>
          <t>Photo Delivery (0009)</t>
        </is>
      </c>
      <c r="C78" s="50" t="inlineStr">
        <is>
          <t>Photo Delivery to Drive</t>
        </is>
      </c>
      <c r="D78" s="52" t="inlineStr">
        <is>
          <t>Bulk export of full event gallery to couple's Google Drive.</t>
        </is>
      </c>
      <c r="E78" s="61" t="inlineStr">
        <is>
          <t>Live V1 (xlsx)</t>
        </is>
      </c>
      <c r="F78" s="54" t="inlineStr">
        <is>
          <t>per event</t>
        </is>
      </c>
      <c r="G78" s="55" t="n">
        <v>5</v>
      </c>
      <c r="H78" s="56" t="n"/>
      <c r="I78" s="57">
        <f>IF(H78="","",H78-G78)</f>
        <v/>
      </c>
      <c r="J78" s="58">
        <f>IF(OR(H78="",H78=0),"",(H78-G78)/H78)</f>
        <v/>
      </c>
      <c r="K78" s="59" t="inlineStr">
        <is>
          <t>Drive API + R2 read. Negligible compute.</t>
        </is>
      </c>
    </row>
    <row r="79" ht="21.75" customHeight="1" s="45">
      <c r="A79" s="49" t="inlineStr">
        <is>
          <t>Mood Board V1 (iteration 0010) — palettes only, role + venue, Setnayan Guide rule engine</t>
        </is>
      </c>
    </row>
    <row r="80" ht="36" customHeight="1" s="45">
      <c r="A80" s="50" t="inlineStr">
        <is>
          <t>MB-01</t>
        </is>
      </c>
      <c r="B80" s="51" t="inlineStr">
        <is>
          <t>Mood Board (0010)</t>
        </is>
      </c>
      <c r="C80" s="50" t="inlineStr">
        <is>
          <t>6-color palettes per role + venue</t>
        </is>
      </c>
      <c r="D80" s="52" t="inlineStr">
        <is>
          <t>Every guest-list role + the venue gets its own 6-color palette.</t>
        </is>
      </c>
      <c r="E80" s="53" t="inlineStr">
        <is>
          <t>Always Free</t>
        </is>
      </c>
      <c r="F80" s="54" t="inlineStr">
        <is>
          <t>per event</t>
        </is>
      </c>
      <c r="G80" s="55" t="n">
        <v>0</v>
      </c>
      <c r="H80" s="56" t="n"/>
      <c r="I80" s="57">
        <f>IF(H80="","",H80-G80)</f>
        <v/>
      </c>
      <c r="J80" s="58">
        <f>IF(OR(H80="",H80=0),"",(H80-G80)/H80)</f>
        <v/>
      </c>
      <c r="K80" s="59" t="inlineStr">
        <is>
          <t>—</t>
        </is>
      </c>
    </row>
    <row r="81" ht="36" customHeight="1" s="45">
      <c r="A81" s="50" t="inlineStr">
        <is>
          <t>MB-02</t>
        </is>
      </c>
      <c r="B81" s="51" t="inlineStr">
        <is>
          <t>Mood Board (0010)</t>
        </is>
      </c>
      <c r="C81" s="50" t="inlineStr">
        <is>
          <t>Color input (hex / picker / name / image)</t>
        </is>
      </c>
      <c r="D81" s="52" t="inlineStr">
        <is>
          <t>Hex codes, color picker, ~300-entry color name autocomplete, eyedropper from uploaded photos.</t>
        </is>
      </c>
      <c r="E81" s="53" t="inlineStr">
        <is>
          <t>Always Free</t>
        </is>
      </c>
      <c r="F81" s="54" t="inlineStr">
        <is>
          <t>per palette</t>
        </is>
      </c>
      <c r="G81" s="55" t="n">
        <v>0</v>
      </c>
      <c r="H81" s="56" t="n"/>
      <c r="I81" s="57">
        <f>IF(H81="","",H81-G81)</f>
        <v/>
      </c>
      <c r="J81" s="58">
        <f>IF(OR(H81="",H81=0),"",(H81-G81)/H81)</f>
        <v/>
      </c>
      <c r="K81" s="59" t="inlineStr">
        <is>
          <t>—</t>
        </is>
      </c>
    </row>
    <row r="82" ht="36" customHeight="1" s="45">
      <c r="A82" s="50" t="inlineStr">
        <is>
          <t>MB-03</t>
        </is>
      </c>
      <c r="B82" s="51" t="inlineStr">
        <is>
          <t>Mood Board (0010)</t>
        </is>
      </c>
      <c r="C82" s="50" t="inlineStr">
        <is>
          <t>Image extraction</t>
        </is>
      </c>
      <c r="D82" s="52" t="inlineStr">
        <is>
          <t>Drop a photo, get the dominant colors auto-extracted into the palette.</t>
        </is>
      </c>
      <c r="E82" s="53" t="inlineStr">
        <is>
          <t>Always Free</t>
        </is>
      </c>
      <c r="F82" s="54" t="inlineStr">
        <is>
          <t>per extraction</t>
        </is>
      </c>
      <c r="G82" s="55" t="n">
        <v>0</v>
      </c>
      <c r="H82" s="56" t="n"/>
      <c r="I82" s="57">
        <f>IF(H82="","",H82-G82)</f>
        <v/>
      </c>
      <c r="J82" s="58">
        <f>IF(OR(H82="",H82=0),"",(H82-G82)/H82)</f>
        <v/>
      </c>
      <c r="K82" s="59" t="inlineStr">
        <is>
          <t>Image processing on-demand.</t>
        </is>
      </c>
    </row>
    <row r="83" ht="36" customHeight="1" s="45">
      <c r="A83" s="50" t="inlineStr">
        <is>
          <t>MB-04</t>
        </is>
      </c>
      <c r="B83" s="51" t="inlineStr">
        <is>
          <t>Mood Board (0010)</t>
        </is>
      </c>
      <c r="C83" s="50" t="inlineStr">
        <is>
          <t>20 pre-template themes</t>
        </is>
      </c>
      <c r="D83" s="52" t="inlineStr">
        <is>
          <t>Style (Classic/Pastel/Royalty/Nomadic/Sweet/Elegant/Dreamy/Muted/Boho), Color-led (Blue/Red/Green/Gold/Baby Blue/Army/Pink), Seasonal (Spring/Summer/Autumn/Winter).</t>
        </is>
      </c>
      <c r="E83" s="53" t="inlineStr">
        <is>
          <t>Always Free</t>
        </is>
      </c>
      <c r="F83" s="54" t="inlineStr">
        <is>
          <t>per event</t>
        </is>
      </c>
      <c r="G83" s="55" t="n">
        <v>0</v>
      </c>
      <c r="H83" s="56" t="n"/>
      <c r="I83" s="57">
        <f>IF(H83="","",H83-G83)</f>
        <v/>
      </c>
      <c r="J83" s="58">
        <f>IF(OR(H83="",H83=0),"",(H83-G83)/H83)</f>
        <v/>
      </c>
      <c r="K83" s="59" t="inlineStr">
        <is>
          <t>Couples consume; stylist authoring V2.</t>
        </is>
      </c>
    </row>
    <row r="84" ht="36" customHeight="1" s="45">
      <c r="A84" s="50" t="inlineStr">
        <is>
          <t>MB-05</t>
        </is>
      </c>
      <c r="B84" s="51" t="inlineStr">
        <is>
          <t>Mood Board (0010)</t>
        </is>
      </c>
      <c r="C84" s="50" t="inlineStr">
        <is>
          <t>Setnayan Guide rule engine</t>
        </is>
      </c>
      <c r="D84" s="52" t="inlineStr">
        <is>
          <t>7 categories evaluated on every change: cohesion, contrast, bg/fg proximity, temperature, saturation, photography color cast, PH cultural defaults.</t>
        </is>
      </c>
      <c r="E84" s="53" t="inlineStr">
        <is>
          <t>Always Free</t>
        </is>
      </c>
      <c r="F84" s="54" t="inlineStr">
        <is>
          <t>per palette change</t>
        </is>
      </c>
      <c r="G84" s="55" t="n">
        <v>0</v>
      </c>
      <c r="H84" s="56" t="n"/>
      <c r="I84" s="57">
        <f>IF(H84="","",H84-G84)</f>
        <v/>
      </c>
      <c r="J84" s="58">
        <f>IF(OR(H84="",H84=0),"",(H84-G84)/H84)</f>
        <v/>
      </c>
      <c r="K84" s="59" t="inlineStr">
        <is>
          <t>Couples can disable; defaults ON.</t>
        </is>
      </c>
    </row>
    <row r="85" ht="36" customHeight="1" s="45">
      <c r="A85" s="50" t="inlineStr">
        <is>
          <t>MB-06</t>
        </is>
      </c>
      <c r="B85" s="51" t="inlineStr">
        <is>
          <t>Mood Board (0010)</t>
        </is>
      </c>
      <c r="C85" s="50" t="inlineStr">
        <is>
          <t>Master palette dedup</t>
        </is>
      </c>
      <c r="D85" s="52" t="inlineStr">
        <is>
          <t>Hex + named-color dedup across all role palettes; surfaces master color set.</t>
        </is>
      </c>
      <c r="E85" s="53" t="inlineStr">
        <is>
          <t>Always Free</t>
        </is>
      </c>
      <c r="F85" s="54" t="inlineStr">
        <is>
          <t>per event</t>
        </is>
      </c>
      <c r="G85" s="55" t="n">
        <v>0</v>
      </c>
      <c r="H85" s="56" t="n"/>
      <c r="I85" s="57">
        <f>IF(H85="","",H85-G85)</f>
        <v/>
      </c>
      <c r="J85" s="58">
        <f>IF(OR(H85="",H85=0),"",(H85-G85)/H85)</f>
        <v/>
      </c>
      <c r="K85" s="59" t="inlineStr">
        <is>
          <t>—</t>
        </is>
      </c>
    </row>
    <row r="86" ht="36" customHeight="1" s="45">
      <c r="A86" s="50" t="inlineStr">
        <is>
          <t>MB-07</t>
        </is>
      </c>
      <c r="B86" s="51" t="inlineStr">
        <is>
          <t>Mood Board (0010)</t>
        </is>
      </c>
      <c r="C86" s="50" t="inlineStr">
        <is>
          <t>Per-event Guide toggle + per-palette override</t>
        </is>
      </c>
      <c r="D86" s="52" t="inlineStr">
        <is>
          <t>Couple can disable Setnayan Guide globally or override a specific warning ('use this color anyway').</t>
        </is>
      </c>
      <c r="E86" s="53" t="inlineStr">
        <is>
          <t>Always Free</t>
        </is>
      </c>
      <c r="F86" s="54" t="inlineStr">
        <is>
          <t>per event</t>
        </is>
      </c>
      <c r="G86" s="55" t="n">
        <v>0</v>
      </c>
      <c r="H86" s="56" t="n"/>
      <c r="I86" s="57">
        <f>IF(H86="","",H86-G86)</f>
        <v/>
      </c>
      <c r="J86" s="58">
        <f>IF(OR(H86="",H86=0),"",(H86-G86)/H86)</f>
        <v/>
      </c>
      <c r="K86" s="59" t="inlineStr">
        <is>
          <t>—</t>
        </is>
      </c>
    </row>
    <row r="87" ht="21.75" customHeight="1" s="45">
      <c r="A87" s="49" t="inlineStr">
        <is>
          <t>Live Stream (iteration 0011) — broadcast couple's wedding to YouTube via Cloudflare ingest</t>
        </is>
      </c>
    </row>
    <row r="88" ht="36" customHeight="1" s="45">
      <c r="A88" s="50" t="inlineStr">
        <is>
          <t>LSF-01</t>
        </is>
      </c>
      <c r="B88" s="51" t="inlineStr">
        <is>
          <t>Live Stream (0011)</t>
        </is>
      </c>
      <c r="C88" s="50" t="inlineStr">
        <is>
          <t>Highlight markers (broadcaster)</t>
        </is>
      </c>
      <c r="D88" s="52" t="inlineStr">
        <is>
          <t>★ button on broadcaster admin marks moments mid-broadcast for later highlight reel.</t>
        </is>
      </c>
      <c r="E88" s="53" t="inlineStr">
        <is>
          <t>Always Free</t>
        </is>
      </c>
      <c r="F88" s="54" t="inlineStr">
        <is>
          <t>per event</t>
        </is>
      </c>
      <c r="G88" s="55" t="n">
        <v>0</v>
      </c>
      <c r="H88" s="56" t="n"/>
      <c r="I88" s="57">
        <f>IF(H88="","",H88-G88)</f>
        <v/>
      </c>
      <c r="J88" s="58">
        <f>IF(OR(H88="",H88=0),"",(H88-G88)/H88)</f>
        <v/>
      </c>
      <c r="K88" s="59" t="inlineStr">
        <is>
          <t>Free with Live Stream Base purchase.</t>
        </is>
      </c>
    </row>
    <row r="89" ht="36" customHeight="1" s="45">
      <c r="A89" s="50" t="inlineStr">
        <is>
          <t>LSF-02</t>
        </is>
      </c>
      <c r="B89" s="51" t="inlineStr">
        <is>
          <t>Live Stream (0011)</t>
        </is>
      </c>
      <c r="C89" s="50" t="inlineStr">
        <is>
          <t>Cast to projector (HDMI)</t>
        </is>
      </c>
      <c r="D89" s="52" t="inlineStr">
        <is>
          <t>Laptop HDMI for full polished composite, iPhone HDMI for raw active feed via iOS fullscreen-video routing.</t>
        </is>
      </c>
      <c r="E89" s="53" t="inlineStr">
        <is>
          <t>Always Free</t>
        </is>
      </c>
      <c r="F89" s="54" t="inlineStr">
        <is>
          <t>per event</t>
        </is>
      </c>
      <c r="G89" s="55" t="n">
        <v>0</v>
      </c>
      <c r="H89" s="56" t="n"/>
      <c r="I89" s="57">
        <f>IF(H89="","",H89-G89)</f>
        <v/>
      </c>
      <c r="J89" s="58">
        <f>IF(OR(H89="",H89=0),"",(H89-G89)/H89)</f>
        <v/>
      </c>
      <c r="K89" s="59" t="inlineStr">
        <is>
          <t>Free with Live Stream Base purchase.</t>
        </is>
      </c>
    </row>
    <row r="90" ht="36" customHeight="1" s="45">
      <c r="A90" s="50" t="inlineStr">
        <is>
          <t>LSF-03</t>
        </is>
      </c>
      <c r="B90" s="51" t="inlineStr">
        <is>
          <t>Live Stream (0011)</t>
        </is>
      </c>
      <c r="C90" s="50" t="inlineStr">
        <is>
          <t>Standby video (LED + Monogram)</t>
        </is>
      </c>
      <c r="D90" s="52" t="inlineStr">
        <is>
          <t>When LED Background (0005) + Custom Monogram Pack both owned, the 1080p LED render becomes the standby video automatically.</t>
        </is>
      </c>
      <c r="E90" s="53" t="inlineStr">
        <is>
          <t>Always Free</t>
        </is>
      </c>
      <c r="F90" s="54" t="inlineStr">
        <is>
          <t>per event</t>
        </is>
      </c>
      <c r="G90" s="55" t="n">
        <v>0</v>
      </c>
      <c r="H90" s="56" t="n"/>
      <c r="I90" s="57">
        <f>IF(H90="","",H90-G90)</f>
        <v/>
      </c>
      <c r="J90" s="58">
        <f>IF(OR(H90="",H90=0),"",(H90-G90)/H90)</f>
        <v/>
      </c>
      <c r="K90" s="59" t="inlineStr">
        <is>
          <t>Cross-iteration freebie.</t>
        </is>
      </c>
    </row>
    <row r="91" ht="36" customHeight="1" s="45">
      <c r="A91" s="50" t="inlineStr">
        <is>
          <t>LS-01</t>
        </is>
      </c>
      <c r="B91" s="51" t="inlineStr">
        <is>
          <t>Live Stream (0011)</t>
        </is>
      </c>
      <c r="C91" s="50" t="inlineStr">
        <is>
          <t>Live Stream Base</t>
        </is>
      </c>
      <c r="D91" s="52" t="inlineStr">
        <is>
          <t>1 broadcaster + 3 cameras + 3 hours of stream capacity. Delivers via YouTube (unlimited viewers, ₱0 marginal cost).</t>
        </is>
      </c>
      <c r="E91" s="60" t="inlineStr">
        <is>
          <t>Live V1</t>
        </is>
      </c>
      <c r="F91" s="54" t="inlineStr">
        <is>
          <t>per event</t>
        </is>
      </c>
      <c r="G91" s="55" t="n">
        <v>120</v>
      </c>
      <c r="H91" s="56" t="n"/>
      <c r="I91" s="57">
        <f>IF(H91="","",H91-G91)</f>
        <v/>
      </c>
      <c r="J91" s="58">
        <f>IF(OR(H91="",H91=0),"",(H91-G91)/H91)</f>
        <v/>
      </c>
      <c r="K91" s="59" t="inlineStr">
        <is>
          <t>Cloudflare Stream Live ingest (3 cams × 3 hrs ≈ 540 min) + RTMP to YouTube. YouTube absorbs viewer cost.</t>
        </is>
      </c>
    </row>
    <row r="92" ht="36" customHeight="1" s="45">
      <c r="A92" s="50" t="inlineStr">
        <is>
          <t>LS-02</t>
        </is>
      </c>
      <c r="B92" s="51" t="inlineStr">
        <is>
          <t>Live Stream (0011)</t>
        </is>
      </c>
      <c r="C92" s="50" t="inlineStr">
        <is>
          <t>+1 Camera add-on (max 2)</t>
        </is>
      </c>
      <c r="D92" s="52" t="inlineStr">
        <is>
          <t>Adds one more concurrent camera slot. Multi-purchase up to +2 (so 5 cams max).</t>
        </is>
      </c>
      <c r="E92" s="60" t="inlineStr">
        <is>
          <t>Live V1</t>
        </is>
      </c>
      <c r="F92" s="54" t="inlineStr">
        <is>
          <t>per event</t>
        </is>
      </c>
      <c r="G92" s="55" t="n">
        <v>30</v>
      </c>
      <c r="H92" s="56" t="n"/>
      <c r="I92" s="57">
        <f>IF(H92="","",H92-G92)</f>
        <v/>
      </c>
      <c r="J92" s="58">
        <f>IF(OR(H92="",H92=0),"",(H92-G92)/H92)</f>
        <v/>
      </c>
      <c r="K92" s="59" t="inlineStr">
        <is>
          <t>~₱30/cam ingest cost over typical 3 hr session.</t>
        </is>
      </c>
    </row>
    <row r="93" ht="36" customHeight="1" s="45">
      <c r="A93" s="50" t="inlineStr">
        <is>
          <t>LS-03</t>
        </is>
      </c>
      <c r="B93" s="51" t="inlineStr">
        <is>
          <t>Live Stream (0011)</t>
        </is>
      </c>
      <c r="C93" s="50" t="inlineStr">
        <is>
          <t>+1 Hour add-on (unlimited)</t>
        </is>
      </c>
      <c r="D93" s="52" t="inlineStr">
        <is>
          <t>Extends stream capacity by 1 hour. Unlimited multi-purchase.</t>
        </is>
      </c>
      <c r="E93" s="60" t="inlineStr">
        <is>
          <t>Live V1</t>
        </is>
      </c>
      <c r="F93" s="54" t="inlineStr">
        <is>
          <t>per event</t>
        </is>
      </c>
      <c r="G93" s="55" t="n">
        <v>50</v>
      </c>
      <c r="H93" s="56" t="n"/>
      <c r="I93" s="57">
        <f>IF(H93="","",H93-G93)</f>
        <v/>
      </c>
      <c r="J93" s="58">
        <f>IF(OR(H93="",H93=0),"",(H93-G93)/H93)</f>
        <v/>
      </c>
      <c r="K93" s="59" t="inlineStr">
        <is>
          <t>~₱50/hr at 3 cams baseline.</t>
        </is>
      </c>
    </row>
    <row r="94" ht="36" customHeight="1" s="45">
      <c r="A94" s="50" t="inlineStr">
        <is>
          <t>LS-04</t>
        </is>
      </c>
      <c r="B94" s="51" t="inlineStr">
        <is>
          <t>Live Stream + Paparazzi</t>
        </is>
      </c>
      <c r="C94" s="50" t="inlineStr">
        <is>
          <t>Custom Monogram Pack</t>
        </is>
      </c>
      <c r="D94" s="52" t="inlineStr">
        <is>
          <t>Replaces Setnayan logo with couple's monogram across ALL outputs (LS broadcast, recordings, Paparazzi exports, Personal Reels). Event-wide, one purchase.</t>
        </is>
      </c>
      <c r="E94" s="60" t="inlineStr">
        <is>
          <t>Live V1</t>
        </is>
      </c>
      <c r="F94" s="54" t="inlineStr">
        <is>
          <t>per event (event-wide)</t>
        </is>
      </c>
      <c r="G94" s="55" t="n">
        <v>5</v>
      </c>
      <c r="H94" s="56" t="n"/>
      <c r="I94" s="57">
        <f>IF(H94="","",H94-G94)</f>
        <v/>
      </c>
      <c r="J94" s="58">
        <f>IF(OR(H94="",H94=0),"",(H94-G94)/H94)</f>
        <v/>
      </c>
      <c r="K94" s="59" t="inlineStr">
        <is>
          <t>One-time asset gen + storage. Very low marginal cost. Shared SKU between 0011 and 0012.</t>
        </is>
      </c>
    </row>
    <row r="95" ht="36" customHeight="1" s="45">
      <c r="A95" s="50" t="inlineStr">
        <is>
          <t>LS-05</t>
        </is>
      </c>
      <c r="B95" s="51" t="inlineStr">
        <is>
          <t>Live Stream (0011)</t>
        </is>
      </c>
      <c r="C95" s="50" t="inlineStr">
        <is>
          <t>Broadcast Style Pack</t>
        </is>
      </c>
      <c r="D95" s="52" t="inlineStr">
        <is>
          <t>Bundles all 4 broadcast modes (News / Cinematic / Sports / Royalty) + transitions + animated scene cards. Mid-event mode switching included.</t>
        </is>
      </c>
      <c r="E95" s="60" t="inlineStr">
        <is>
          <t>Live V1</t>
        </is>
      </c>
      <c r="F95" s="54" t="inlineStr">
        <is>
          <t>per event</t>
        </is>
      </c>
      <c r="G95" s="55" t="n">
        <v>5</v>
      </c>
      <c r="H95" s="56" t="n"/>
      <c r="I95" s="57">
        <f>IF(H95="","",H95-G95)</f>
        <v/>
      </c>
      <c r="J95" s="58">
        <f>IF(OR(H95="",H95=0),"",(H95-G95)/H95)</f>
        <v/>
      </c>
      <c r="K95" s="59" t="inlineStr">
        <is>
          <t>Compositor template/LUT swaps — pure software.</t>
        </is>
      </c>
    </row>
    <row r="96" ht="36" customHeight="1" s="45">
      <c r="A96" s="50" t="inlineStr">
        <is>
          <t>LS-06</t>
        </is>
      </c>
      <c r="B96" s="51" t="inlineStr">
        <is>
          <t>Live Stream (0011)</t>
        </is>
      </c>
      <c r="C96" s="50" t="inlineStr">
        <is>
          <t>AI Video Highlight (60s, multi-purchase)</t>
        </is>
      </c>
      <c r="D96" s="52" t="inlineStr">
        <is>
          <t>60-second AI-curated highlight reel from broadcast clips + paparazzi photos.</t>
        </is>
      </c>
      <c r="E96" s="60" t="inlineStr">
        <is>
          <t>Live V1</t>
        </is>
      </c>
      <c r="F96" s="54" t="inlineStr">
        <is>
          <t>per render</t>
        </is>
      </c>
      <c r="G96" s="55" t="n">
        <v>10</v>
      </c>
      <c r="H96" s="56" t="n"/>
      <c r="I96" s="57">
        <f>IF(H96="","",H96-G96)</f>
        <v/>
      </c>
      <c r="J96" s="58">
        <f>IF(OR(H96="",H96=0),"",(H96-G96)/H96)</f>
        <v/>
      </c>
      <c r="K96" s="59" t="inlineStr">
        <is>
          <t>Claude API + FFmpeg compute. Multi-purchase per highlight.</t>
        </is>
      </c>
    </row>
    <row r="97" ht="36" customHeight="1" s="45">
      <c r="A97" s="50" t="inlineStr">
        <is>
          <t>LS-07</t>
        </is>
      </c>
      <c r="B97" s="51" t="inlineStr">
        <is>
          <t>Live Stream (0011)</t>
        </is>
      </c>
      <c r="C97" s="50" t="inlineStr">
        <is>
          <t>AI Edited Highlight (3-min, multi-purchase)</t>
        </is>
      </c>
      <c r="D97" s="52" t="inlineStr">
        <is>
          <t>3-minute themed multi-segment polished reel. Inherits Broadcast Style if owned.</t>
        </is>
      </c>
      <c r="E97" s="60" t="inlineStr">
        <is>
          <t>Live V1</t>
        </is>
      </c>
      <c r="F97" s="54" t="inlineStr">
        <is>
          <t>per render</t>
        </is>
      </c>
      <c r="G97" s="55" t="n">
        <v>30</v>
      </c>
      <c r="H97" s="56" t="n"/>
      <c r="I97" s="57">
        <f>IF(H97="","",H97-G97)</f>
        <v/>
      </c>
      <c r="J97" s="58">
        <f>IF(OR(H97="",H97=0),"",(H97-G97)/H97)</f>
        <v/>
      </c>
      <c r="K97" s="59" t="inlineStr">
        <is>
          <t>Claude API + FFmpeg + theme template. Multi-purchase per render.</t>
        </is>
      </c>
    </row>
    <row r="98" ht="21.75" customHeight="1" s="45">
      <c r="A98" s="49" t="inlineStr">
        <is>
          <t>Paparazzi (iteration 0012) — native iOS/Android candid-capture app, QR tagging, real-time gallery</t>
        </is>
      </c>
    </row>
    <row r="99" ht="36" customHeight="1" s="45">
      <c r="A99" s="50" t="inlineStr">
        <is>
          <t>P-01</t>
        </is>
      </c>
      <c r="B99" s="51" t="inlineStr">
        <is>
          <t>Paparazzi (0012)</t>
        </is>
      </c>
      <c r="C99" s="50" t="inlineStr">
        <is>
          <t>3 Paparazzi seats</t>
        </is>
      </c>
      <c r="D99" s="52" t="inlineStr">
        <is>
          <t>3 app seats per event. Apparatus-only — couple recruits operators (friends/family).</t>
        </is>
      </c>
      <c r="E99" s="60" t="inlineStr">
        <is>
          <t>Live V1</t>
        </is>
      </c>
      <c r="F99" s="54" t="inlineStr">
        <is>
          <t>per event</t>
        </is>
      </c>
      <c r="G99" s="55" t="n">
        <v>195</v>
      </c>
      <c r="H99" s="56" t="n"/>
      <c r="I99" s="57">
        <f>IF(H99="","",H99-G99)</f>
        <v/>
      </c>
      <c r="J99" s="58">
        <f>IF(OR(H99="",H99=0),"",(H99-G99)/H99)</f>
        <v/>
      </c>
      <c r="K99" s="59" t="inlineStr">
        <is>
          <t>R2 storage (90 days hot, 5 yrs cold) + face vectors + reel renders + bandwidth. Per CLAUDE.md cheat sheet.</t>
        </is>
      </c>
    </row>
    <row r="100" ht="36" customHeight="1" s="45">
      <c r="A100" s="50" t="inlineStr">
        <is>
          <t>P-02</t>
        </is>
      </c>
      <c r="B100" s="51" t="inlineStr">
        <is>
          <t>Paparazzi (0012)</t>
        </is>
      </c>
      <c r="C100" s="50" t="inlineStr">
        <is>
          <t>5 Paparazzi seats</t>
        </is>
      </c>
      <c r="D100" s="52" t="inlineStr">
        <is>
          <t>5 app seats per event. Larger crew = more coverage.</t>
        </is>
      </c>
      <c r="E100" s="60" t="inlineStr">
        <is>
          <t>Live V1</t>
        </is>
      </c>
      <c r="F100" s="54" t="inlineStr">
        <is>
          <t>per event</t>
        </is>
      </c>
      <c r="G100" s="55" t="n">
        <v>265</v>
      </c>
      <c r="H100" s="56" t="n"/>
      <c r="I100" s="57">
        <f>IF(H100="","",H100-G100)</f>
        <v/>
      </c>
      <c r="J100" s="58">
        <f>IF(OR(H100="",H100=0),"",(H100-G100)/H100)</f>
        <v/>
      </c>
      <c r="K100" s="59" t="inlineStr">
        <is>
          <t>R2 storage scales with photo volume. Per CLAUDE.md cheat sheet.</t>
        </is>
      </c>
    </row>
    <row r="101" ht="36" customHeight="1" s="45">
      <c r="A101" s="50" t="inlineStr">
        <is>
          <t>P-03</t>
        </is>
      </c>
      <c r="B101" s="51" t="inlineStr">
        <is>
          <t>Paparazzi (0012)</t>
        </is>
      </c>
      <c r="C101" s="50" t="inlineStr">
        <is>
          <t>per Template add-on</t>
        </is>
      </c>
      <c r="D101" s="52" t="inlineStr">
        <is>
          <t>Reel template unlock (premade library of 400+ templates, ~30 reels/event typical).</t>
        </is>
      </c>
      <c r="E101" s="60" t="inlineStr">
        <is>
          <t>Live V1</t>
        </is>
      </c>
      <c r="F101" s="54" t="inlineStr">
        <is>
          <t>per event</t>
        </is>
      </c>
      <c r="G101" s="55" t="n">
        <v>60</v>
      </c>
      <c r="H101" s="56" t="n"/>
      <c r="I101" s="57">
        <f>IF(H101="","",H101-G101)</f>
        <v/>
      </c>
      <c r="J101" s="58">
        <f>IF(OR(H101="",H101=0),"",(H101-G101)/H101)</f>
        <v/>
      </c>
      <c r="K101" s="59" t="inlineStr">
        <is>
          <t>FFmpeg compute @ ₱2/render × ~30 reels per typical event.</t>
        </is>
      </c>
    </row>
    <row r="102" ht="36" customHeight="1" s="45">
      <c r="A102" s="50" t="inlineStr">
        <is>
          <t>P-04</t>
        </is>
      </c>
      <c r="B102" s="51" t="inlineStr">
        <is>
          <t>Paparazzi + Live Stream</t>
        </is>
      </c>
      <c r="C102" s="50" t="inlineStr">
        <is>
          <t>Pro Camera Bridge (per DSLR)</t>
        </is>
      </c>
      <c r="D102" s="52" t="inlineStr">
        <is>
          <t>WiFi-SDK pairing for Canon/Nikon/Sony/Fujifilm DSLR. 1 phone : 1 DSLR. Multi-purchase. Shared SKU 0011 + 0012.</t>
        </is>
      </c>
      <c r="E102" s="60" t="inlineStr">
        <is>
          <t>Live V1</t>
        </is>
      </c>
      <c r="F102" s="54" t="inlineStr">
        <is>
          <t>per pairing</t>
        </is>
      </c>
      <c r="G102" s="55" t="n">
        <v>10</v>
      </c>
      <c r="H102" s="56" t="n"/>
      <c r="I102" s="57">
        <f>IF(H102="","",H102-G102)</f>
        <v/>
      </c>
      <c r="J102" s="58">
        <f>IF(OR(H102="",H102=0),"",(H102-G102)/H102)</f>
        <v/>
      </c>
      <c r="K102" s="59" t="inlineStr">
        <is>
          <t>Software-only marginal cost. SDK licensing is one-time eng amortized over all events.</t>
        </is>
      </c>
    </row>
    <row r="103" ht="36" customHeight="1" s="45">
      <c r="A103" s="50" t="inlineStr">
        <is>
          <t>PF-01</t>
        </is>
      </c>
      <c r="B103" s="51" t="inlineStr">
        <is>
          <t>Paparazzi (0012)</t>
        </is>
      </c>
      <c r="C103" s="50" t="inlineStr">
        <is>
          <t>Gesture shutter (4 modes)</t>
        </is>
      </c>
      <c r="D103" s="52" t="inlineStr">
        <is>
          <t>Tap = photo. Drag up = photo with flash. Drag right = 5-sec clip. Drag right → up = clip with flash.</t>
        </is>
      </c>
      <c r="E103" s="53" t="inlineStr">
        <is>
          <t>Always Free</t>
        </is>
      </c>
      <c r="F103" s="54" t="inlineStr">
        <is>
          <t>per session</t>
        </is>
      </c>
      <c r="G103" s="55" t="n">
        <v>0</v>
      </c>
      <c r="H103" s="56" t="n"/>
      <c r="I103" s="57">
        <f>IF(H103="","",H103-G103)</f>
        <v/>
      </c>
      <c r="J103" s="58">
        <f>IF(OR(H103="",H103=0),"",(H103-G103)/H103)</f>
        <v/>
      </c>
      <c r="K103" s="59" t="inlineStr">
        <is>
          <t>Free with seats.</t>
        </is>
      </c>
    </row>
    <row r="104" ht="36" customHeight="1" s="45">
      <c r="A104" s="50" t="inlineStr">
        <is>
          <t>PF-02</t>
        </is>
      </c>
      <c r="B104" s="51" t="inlineStr">
        <is>
          <t>Paparazzi (0012)</t>
        </is>
      </c>
      <c r="C104" s="50" t="inlineStr">
        <is>
          <t>QR tagging (individual + table)</t>
        </is>
      </c>
      <c r="D104" s="52" t="inlineStr">
        <is>
          <t>Scan guest QR or table QR; table QR fans out to up to 10 guests at that table.</t>
        </is>
      </c>
      <c r="E104" s="53" t="inlineStr">
        <is>
          <t>Always Free</t>
        </is>
      </c>
      <c r="F104" s="54" t="inlineStr">
        <is>
          <t>per scan</t>
        </is>
      </c>
      <c r="G104" s="55" t="n">
        <v>0</v>
      </c>
      <c r="H104" s="56" t="n"/>
      <c r="I104" s="57">
        <f>IF(H104="","",H104-G104)</f>
        <v/>
      </c>
      <c r="J104" s="58">
        <f>IF(OR(H104="",H104=0),"",(H104-G104)/H104)</f>
        <v/>
      </c>
      <c r="K104" s="59" t="inlineStr">
        <is>
          <t>Free with seats.</t>
        </is>
      </c>
    </row>
    <row r="105" ht="36" customHeight="1" s="45">
      <c r="A105" s="50" t="inlineStr">
        <is>
          <t>PF-03</t>
        </is>
      </c>
      <c r="B105" s="51" t="inlineStr">
        <is>
          <t>Paparazzi (0012)</t>
        </is>
      </c>
      <c r="C105" s="50" t="inlineStr">
        <is>
          <t>Auto face detection</t>
        </is>
      </c>
      <c r="D105" s="52" t="inlineStr">
        <is>
          <t>Layered enrollment from RSVP photo + guest portal upload + check-in kiosk. ≥0.85 confidence auto-tags; 0.65–0.85 suggests; below uploads untagged.</t>
        </is>
      </c>
      <c r="E105" s="53" t="inlineStr">
        <is>
          <t>Always Free</t>
        </is>
      </c>
      <c r="F105" s="54" t="inlineStr">
        <is>
          <t>per photo</t>
        </is>
      </c>
      <c r="G105" s="55" t="n">
        <v>0</v>
      </c>
      <c r="H105" s="56" t="n"/>
      <c r="I105" s="57">
        <f>IF(H105="","",H105-G105)</f>
        <v/>
      </c>
      <c r="J105" s="58">
        <f>IF(OR(H105="",H105=0),"",(H105-G105)/H105)</f>
        <v/>
      </c>
      <c r="K105" s="59" t="inlineStr">
        <is>
          <t>Free with seats. Vector store per-event-scoped, deletes at 5-year retention.</t>
        </is>
      </c>
    </row>
    <row r="106" ht="36" customHeight="1" s="45">
      <c r="A106" s="50" t="inlineStr">
        <is>
          <t>PF-04</t>
        </is>
      </c>
      <c r="B106" s="51" t="inlineStr">
        <is>
          <t>Paparazzi (0012)</t>
        </is>
      </c>
      <c r="C106" s="50" t="inlineStr">
        <is>
          <t>Personal Reel builder (1–30s)</t>
        </is>
      </c>
      <c r="D106" s="52" t="inlineStr">
        <is>
          <t>Vertical 9:16 (1080×1920), 1–30s, max 5 guest picks + 5 couple memorable clips, template-driven, owned-AI-music catalogue.</t>
        </is>
      </c>
      <c r="E106" s="53" t="inlineStr">
        <is>
          <t>Always Free</t>
        </is>
      </c>
      <c r="F106" s="54" t="inlineStr">
        <is>
          <t>per render</t>
        </is>
      </c>
      <c r="G106" s="55" t="n">
        <v>0</v>
      </c>
      <c r="H106" s="56" t="n"/>
      <c r="I106" s="57">
        <f>IF(H106="","",H106-G106)</f>
        <v/>
      </c>
      <c r="J106" s="58">
        <f>IF(OR(H106="",H106=0),"",(H106-G106)/H106)</f>
        <v/>
      </c>
      <c r="K106" s="59" t="inlineStr">
        <is>
          <t>Render cost amortized in seats SKU.</t>
        </is>
      </c>
    </row>
    <row r="107" ht="36" customHeight="1" s="45">
      <c r="A107" s="50" t="inlineStr">
        <is>
          <t>PF-05</t>
        </is>
      </c>
      <c r="B107" s="51" t="inlineStr">
        <is>
          <t>Paparazzi (0012)</t>
        </is>
      </c>
      <c r="C107" s="50" t="inlineStr">
        <is>
          <t>Couple gallery review (7-day window)</t>
        </is>
      </c>
      <c r="D107" s="52" t="inlineStr">
        <is>
          <t>Couple has 7-day review before public unlock; bulk hide/unhide; NSFW filter on by default and CANNOT be disabled.</t>
        </is>
      </c>
      <c r="E107" s="53" t="inlineStr">
        <is>
          <t>Always Free</t>
        </is>
      </c>
      <c r="F107" s="54" t="inlineStr">
        <is>
          <t>per event</t>
        </is>
      </c>
      <c r="G107" s="55" t="n">
        <v>0</v>
      </c>
      <c r="H107" s="56" t="n"/>
      <c r="I107" s="57">
        <f>IF(H107="","",H107-G107)</f>
        <v/>
      </c>
      <c r="J107" s="58">
        <f>IF(OR(H107="",H107=0),"",(H107-G107)/H107)</f>
        <v/>
      </c>
      <c r="K107" s="59" t="inlineStr">
        <is>
          <t>Compliance feature.</t>
        </is>
      </c>
    </row>
    <row r="108" ht="36" customHeight="1" s="45">
      <c r="A108" s="50" t="inlineStr">
        <is>
          <t>PF-06</t>
        </is>
      </c>
      <c r="B108" s="51" t="inlineStr">
        <is>
          <t>Paparazzi (0012)</t>
        </is>
      </c>
      <c r="C108" s="50" t="inlineStr">
        <is>
          <t>Manual handoff QR</t>
        </is>
      </c>
      <c r="D108" s="52" t="inlineStr">
        <is>
          <t>Battery handoff at 20% — paparazzo scans handoff QR to revoke + reissue session token to a fresh phone.</t>
        </is>
      </c>
      <c r="E108" s="53" t="inlineStr">
        <is>
          <t>Always Free</t>
        </is>
      </c>
      <c r="F108" s="54" t="inlineStr">
        <is>
          <t>per handoff</t>
        </is>
      </c>
      <c r="G108" s="55" t="n">
        <v>0</v>
      </c>
      <c r="H108" s="56" t="n"/>
      <c r="I108" s="57">
        <f>IF(H108="","",H108-G108)</f>
        <v/>
      </c>
      <c r="J108" s="58">
        <f>IF(OR(H108="",H108=0),"",(H108-G108)/H108)</f>
        <v/>
      </c>
      <c r="K108" s="59" t="inlineStr">
        <is>
          <t>Free with seats.</t>
        </is>
      </c>
    </row>
    <row r="109" ht="36" customHeight="1" s="45">
      <c r="A109" s="50" t="inlineStr">
        <is>
          <t>PF-07</t>
        </is>
      </c>
      <c r="B109" s="51" t="inlineStr">
        <is>
          <t>Paparazzi (0012)</t>
        </is>
      </c>
      <c r="C109" s="50" t="inlineStr">
        <is>
          <t>Adaptive compression</t>
        </is>
      </c>
      <c r="D109" s="52" t="inlineStr">
        <is>
          <t>30-sec bandwidth estimator: strong (&gt;5 Mbps) = originals; medium (1–5) = 80%/CRF23 + queued RAW; weak (&lt;1) = thumbnails first.</t>
        </is>
      </c>
      <c r="E109" s="53" t="inlineStr">
        <is>
          <t>Always Free</t>
        </is>
      </c>
      <c r="F109" s="54" t="inlineStr">
        <is>
          <t>per upload</t>
        </is>
      </c>
      <c r="G109" s="55" t="n">
        <v>0</v>
      </c>
      <c r="H109" s="56" t="n"/>
      <c r="I109" s="57">
        <f>IF(H109="","",H109-G109)</f>
        <v/>
      </c>
      <c r="J109" s="58">
        <f>IF(OR(H109="",H109=0),"",(H109-G109)/H109)</f>
        <v/>
      </c>
      <c r="K109" s="59" t="inlineStr">
        <is>
          <t>Free with seats.</t>
        </is>
      </c>
    </row>
    <row r="110" ht="36" customHeight="1" s="45">
      <c r="A110" s="50" t="inlineStr">
        <is>
          <t>PF-08</t>
        </is>
      </c>
      <c r="B110" s="51" t="inlineStr">
        <is>
          <t>Paparazzi (0012)</t>
        </is>
      </c>
      <c r="C110" s="50" t="inlineStr">
        <is>
          <t>Offline queue (7-day TTL)</t>
        </is>
      </c>
      <c r="D110" s="52" t="inlineStr">
        <is>
          <t>Local SQLite WAL queues captures across app suspend/force-quit/reboot/handoff. Resumes on foreground/network change.</t>
        </is>
      </c>
      <c r="E110" s="53" t="inlineStr">
        <is>
          <t>Always Free</t>
        </is>
      </c>
      <c r="F110" s="54" t="inlineStr">
        <is>
          <t>per event</t>
        </is>
      </c>
      <c r="G110" s="55" t="n">
        <v>0</v>
      </c>
      <c r="H110" s="56" t="n"/>
      <c r="I110" s="57">
        <f>IF(H110="","",H110-G110)</f>
        <v/>
      </c>
      <c r="J110" s="58">
        <f>IF(OR(H110="",H110=0),"",(H110-G110)/H110)</f>
        <v/>
      </c>
      <c r="K110" s="59" t="inlineStr">
        <is>
          <t>Free with seats.</t>
        </is>
      </c>
    </row>
    <row r="111" ht="36" customHeight="1" s="45">
      <c r="A111" s="50" t="inlineStr">
        <is>
          <t>PF-09</t>
        </is>
      </c>
      <c r="B111" s="51" t="inlineStr">
        <is>
          <t>Paparazzi (0012)</t>
        </is>
      </c>
      <c r="C111" s="50" t="inlineStr">
        <is>
          <t>Capture metadata</t>
        </is>
      </c>
      <c r="D111" s="52" t="inlineStr">
        <is>
          <t>Every photo+clip stamps captured_at, geo (couple-toggleable, default ON), device_model, paired_camera. Geo stripped on outbound shares.</t>
        </is>
      </c>
      <c r="E111" s="53" t="inlineStr">
        <is>
          <t>Always Free</t>
        </is>
      </c>
      <c r="F111" s="54" t="inlineStr">
        <is>
          <t>per capture</t>
        </is>
      </c>
      <c r="G111" s="55" t="n">
        <v>0</v>
      </c>
      <c r="H111" s="56" t="n"/>
      <c r="I111" s="57">
        <f>IF(H111="","",H111-G111)</f>
        <v/>
      </c>
      <c r="J111" s="58">
        <f>IF(OR(H111="",H111=0),"",(H111-G111)/H111)</f>
        <v/>
      </c>
      <c r="K111" s="59" t="inlineStr">
        <is>
          <t>Compliance + provenance.</t>
        </is>
      </c>
    </row>
    <row r="112" ht="36" customHeight="1" s="45">
      <c r="A112" s="50" t="inlineStr">
        <is>
          <t>PF-10</t>
        </is>
      </c>
      <c r="B112" s="51" t="inlineStr">
        <is>
          <t>Paparazzi (0012)</t>
        </is>
      </c>
      <c r="C112" s="50" t="inlineStr">
        <is>
          <t>Untagged-still-delivered guarantee</t>
        </is>
      </c>
      <c r="D112" s="52" t="inlineStr">
        <is>
          <t>Every uploaded photo lands in the couple's gallery regardless of tagging status.</t>
        </is>
      </c>
      <c r="E112" s="53" t="inlineStr">
        <is>
          <t>Always Free</t>
        </is>
      </c>
      <c r="F112" s="54" t="inlineStr">
        <is>
          <t>per event</t>
        </is>
      </c>
      <c r="G112" s="55" t="n">
        <v>0</v>
      </c>
      <c r="H112" s="56" t="n"/>
      <c r="I112" s="57">
        <f>IF(H112="","",H112-G112)</f>
        <v/>
      </c>
      <c r="J112" s="58">
        <f>IF(OR(H112="",H112=0),"",(H112-G112)/H112)</f>
        <v/>
      </c>
      <c r="K112" s="59" t="inlineStr">
        <is>
          <t>Product principle.</t>
        </is>
      </c>
    </row>
    <row r="113" ht="36" customHeight="1" s="45">
      <c r="A113" s="50" t="inlineStr">
        <is>
          <t>PF-11</t>
        </is>
      </c>
      <c r="B113" s="51" t="inlineStr">
        <is>
          <t>Paparazzi (0012)</t>
        </is>
      </c>
      <c r="C113" s="50" t="inlineStr">
        <is>
          <t>30-day post-download compression</t>
        </is>
      </c>
      <c r="D113" s="52" t="inlineStr">
        <is>
          <t>When couple/guest downloads originals, source on R2 auto-compresses 30 days later. Compressed copy preserves the gallery view.</t>
        </is>
      </c>
      <c r="E113" s="53" t="inlineStr">
        <is>
          <t>Always Free</t>
        </is>
      </c>
      <c r="F113" s="54" t="inlineStr">
        <is>
          <t>per download</t>
        </is>
      </c>
      <c r="G113" s="55" t="n">
        <v>0</v>
      </c>
      <c r="H113" s="56" t="n"/>
      <c r="I113" s="57">
        <f>IF(H113="","",H113-G113)</f>
        <v/>
      </c>
      <c r="J113" s="58">
        <f>IF(OR(H113="",H113=0),"",(H113-G113)/H113)</f>
        <v/>
      </c>
      <c r="K113" s="59" t="inlineStr">
        <is>
          <t>Cost-management feature.</t>
        </is>
      </c>
    </row>
    <row r="114" ht="21.75" customHeight="1" s="45">
      <c r="A114" s="49" t="inlineStr">
        <is>
          <t>Platform Stack &amp; Sync (iteration 0013) — multi-platform clients sync via Supabase Realtime</t>
        </is>
      </c>
    </row>
    <row r="115" ht="36" customHeight="1" s="45">
      <c r="A115" s="50" t="inlineStr">
        <is>
          <t>PL-01</t>
        </is>
      </c>
      <c r="B115" s="51" t="inlineStr">
        <is>
          <t>Platform (0013)</t>
        </is>
      </c>
      <c r="C115" s="50" t="inlineStr">
        <is>
          <t>Web PWA</t>
        </is>
      </c>
      <c r="D115" s="52" t="inlineStr">
        <is>
          <t>Couple-side dashboard works on web; installable as PWA.</t>
        </is>
      </c>
      <c r="E115" s="53" t="inlineStr">
        <is>
          <t>Always Free</t>
        </is>
      </c>
      <c r="F115" s="54" t="inlineStr">
        <is>
          <t>per user</t>
        </is>
      </c>
      <c r="G115" s="55" t="n">
        <v>0</v>
      </c>
      <c r="H115" s="56" t="n"/>
      <c r="I115" s="57">
        <f>IF(H115="","",H115-G115)</f>
        <v/>
      </c>
      <c r="J115" s="58">
        <f>IF(OR(H115="",H115=0),"",(H115-G115)/H115)</f>
        <v/>
      </c>
      <c r="K115" s="59" t="inlineStr">
        <is>
          <t>Vercel hosting; standard SaaS overhead.</t>
        </is>
      </c>
    </row>
    <row r="116" ht="36" customHeight="1" s="45">
      <c r="A116" s="50" t="inlineStr">
        <is>
          <t>PL-02</t>
        </is>
      </c>
      <c r="B116" s="51" t="inlineStr">
        <is>
          <t>Platform (0013)</t>
        </is>
      </c>
      <c r="C116" s="50" t="inlineStr">
        <is>
          <t>Native iOS app</t>
        </is>
      </c>
      <c r="D116" s="52" t="inlineStr">
        <is>
          <t>Required for Paparazzi capture (iOS 16+); full event-management surface.</t>
        </is>
      </c>
      <c r="E116" s="53" t="inlineStr">
        <is>
          <t>Always Free</t>
        </is>
      </c>
      <c r="F116" s="54" t="inlineStr">
        <is>
          <t>per install</t>
        </is>
      </c>
      <c r="G116" s="55" t="n">
        <v>0</v>
      </c>
      <c r="H116" s="56" t="n"/>
      <c r="I116" s="57">
        <f>IF(H116="","",H116-G116)</f>
        <v/>
      </c>
      <c r="J116" s="58">
        <f>IF(OR(H116="",H116=0),"",(H116-G116)/H116)</f>
        <v/>
      </c>
      <c r="K116" s="59" t="inlineStr">
        <is>
          <t>App Store distribution; engineering amortized.</t>
        </is>
      </c>
    </row>
    <row r="117" ht="36" customHeight="1" s="45">
      <c r="A117" s="50" t="inlineStr">
        <is>
          <t>PL-03</t>
        </is>
      </c>
      <c r="B117" s="51" t="inlineStr">
        <is>
          <t>Platform (0013)</t>
        </is>
      </c>
      <c r="C117" s="50" t="inlineStr">
        <is>
          <t>Native Android app</t>
        </is>
      </c>
      <c r="D117" s="52" t="inlineStr">
        <is>
          <t>Required for Paparazzi capture (Android 11+); full event-management surface.</t>
        </is>
      </c>
      <c r="E117" s="53" t="inlineStr">
        <is>
          <t>Always Free</t>
        </is>
      </c>
      <c r="F117" s="54" t="inlineStr">
        <is>
          <t>per install</t>
        </is>
      </c>
      <c r="G117" s="55" t="n">
        <v>0</v>
      </c>
      <c r="H117" s="56" t="n"/>
      <c r="I117" s="57">
        <f>IF(H117="","",H117-G117)</f>
        <v/>
      </c>
      <c r="J117" s="58">
        <f>IF(OR(H117="",H117=0),"",(H117-G117)/H117)</f>
        <v/>
      </c>
      <c r="K117" s="59" t="inlineStr">
        <is>
          <t>Play Store distribution; engineering amortized.</t>
        </is>
      </c>
    </row>
    <row r="118" ht="36" customHeight="1" s="45">
      <c r="A118" s="50" t="inlineStr">
        <is>
          <t>PL-04</t>
        </is>
      </c>
      <c r="B118" s="51" t="inlineStr">
        <is>
          <t>Platform (0013)</t>
        </is>
      </c>
      <c r="C118" s="50" t="inlineStr">
        <is>
          <t>Tauri macOS desktop shell</t>
        </is>
      </c>
      <c r="D118" s="52" t="inlineStr">
        <is>
          <t>Optional desktop shell wrapping the web PWA for Mac users.</t>
        </is>
      </c>
      <c r="E118" s="53" t="inlineStr">
        <is>
          <t>Always Free</t>
        </is>
      </c>
      <c r="F118" s="54" t="inlineStr">
        <is>
          <t>per install</t>
        </is>
      </c>
      <c r="G118" s="55" t="n">
        <v>0</v>
      </c>
      <c r="H118" s="56" t="n"/>
      <c r="I118" s="57">
        <f>IF(H118="","",H118-G118)</f>
        <v/>
      </c>
      <c r="J118" s="58">
        <f>IF(OR(H118="",H118=0),"",(H118-G118)/H118)</f>
        <v/>
      </c>
      <c r="K118" s="59" t="inlineStr">
        <is>
          <t>—</t>
        </is>
      </c>
    </row>
    <row r="119" ht="36" customHeight="1" s="45">
      <c r="A119" s="50" t="inlineStr">
        <is>
          <t>PL-05</t>
        </is>
      </c>
      <c r="B119" s="51" t="inlineStr">
        <is>
          <t>Platform (0013)</t>
        </is>
      </c>
      <c r="C119" s="50" t="inlineStr">
        <is>
          <t>Multi-device realtime sync</t>
        </is>
      </c>
      <c r="D119" s="52" t="inlineStr">
        <is>
          <t>Same JWT works on every client; same Postgres database is the source of truth. Couple opens phone + laptop = both up-to-date instantly.</t>
        </is>
      </c>
      <c r="E119" s="53" t="inlineStr">
        <is>
          <t>Always Free</t>
        </is>
      </c>
      <c r="F119" s="54" t="inlineStr">
        <is>
          <t>per session</t>
        </is>
      </c>
      <c r="G119" s="55" t="n">
        <v>0</v>
      </c>
      <c r="H119" s="56" t="n"/>
      <c r="I119" s="57">
        <f>IF(H119="","",H119-G119)</f>
        <v/>
      </c>
      <c r="J119" s="58">
        <f>IF(OR(H119="",H119=0),"",(H119-G119)/H119)</f>
        <v/>
      </c>
      <c r="K119" s="59" t="inlineStr">
        <is>
          <t>Supabase Realtime.</t>
        </is>
      </c>
    </row>
    <row r="120" ht="21.75" customHeight="1" s="45">
      <c r="A120" s="49" t="inlineStr">
        <is>
          <t>Marketing Site (iteration 0015) — public-facing setnayan.com marketing site</t>
        </is>
      </c>
    </row>
    <row r="121" ht="36" customHeight="1" s="45">
      <c r="A121" s="50" t="inlineStr">
        <is>
          <t>MK-01</t>
        </is>
      </c>
      <c r="B121" s="51" t="inlineStr">
        <is>
          <t>Marketing Site (0015)</t>
        </is>
      </c>
      <c r="C121" s="50" t="inlineStr">
        <is>
          <t>Public marketing pages</t>
        </is>
      </c>
      <c r="D121" s="52" t="inlineStr">
        <is>
          <t>setnayan.com landing, features, pricing, about — privacy-respecting (anonymized aggregates, city-level pins).</t>
        </is>
      </c>
      <c r="E121" s="53" t="inlineStr">
        <is>
          <t>Always Free</t>
        </is>
      </c>
      <c r="F121" s="54" t="inlineStr">
        <is>
          <t>per visitor</t>
        </is>
      </c>
      <c r="G121" s="55" t="n">
        <v>0</v>
      </c>
      <c r="H121" s="56" t="n"/>
      <c r="I121" s="57">
        <f>IF(H121="","",H121-G121)</f>
        <v/>
      </c>
      <c r="J121" s="58">
        <f>IF(OR(H121="",H121=0),"",(H121-G121)/H121)</f>
        <v/>
      </c>
      <c r="K121" s="59" t="inlineStr">
        <is>
          <t>—</t>
        </is>
      </c>
    </row>
    <row r="122" ht="36" customHeight="1" s="45">
      <c r="A122" s="50" t="inlineStr">
        <is>
          <t>MK-02</t>
        </is>
      </c>
      <c r="B122" s="51" t="inlineStr">
        <is>
          <t>Marketing Site (0015)</t>
        </is>
      </c>
      <c r="C122" s="50" t="inlineStr">
        <is>
          <t>Vendor logo display</t>
        </is>
      </c>
      <c r="D122" s="52" t="inlineStr">
        <is>
          <t>Anonymized vendor logos (last 30 days, opt-in via vendors.is_public flag — defaults FALSE).</t>
        </is>
      </c>
      <c r="E122" s="53" t="inlineStr">
        <is>
          <t>Always Free</t>
        </is>
      </c>
      <c r="F122" s="54" t="inlineStr">
        <is>
          <t>per listing</t>
        </is>
      </c>
      <c r="G122" s="55" t="n">
        <v>0</v>
      </c>
      <c r="H122" s="56" t="n"/>
      <c r="I122" s="57">
        <f>IF(H122="","",H122-G122)</f>
        <v/>
      </c>
      <c r="J122" s="58">
        <f>IF(OR(H122="",H122=0),"",(H122-G122)/H122)</f>
        <v/>
      </c>
      <c r="K122" s="59" t="inlineStr">
        <is>
          <t>Privacy-by-default.</t>
        </is>
      </c>
    </row>
    <row r="123" ht="36" customHeight="1" s="45">
      <c r="A123" s="50" t="inlineStr">
        <is>
          <t>MK-03</t>
        </is>
      </c>
      <c r="B123" s="51" t="inlineStr">
        <is>
          <t>Marketing Site (0015)</t>
        </is>
      </c>
      <c r="C123" s="50" t="inlineStr">
        <is>
          <t>Goal-progress bar</t>
        </is>
      </c>
      <c r="D123" s="52" t="inlineStr">
        <is>
          <t>'127 / 500 couples' framing. No raw counts; aggregate-only.</t>
        </is>
      </c>
      <c r="E123" s="53" t="inlineStr">
        <is>
          <t>Always Free</t>
        </is>
      </c>
      <c r="F123" s="54" t="inlineStr">
        <is>
          <t>per visitor</t>
        </is>
      </c>
      <c r="G123" s="55" t="n">
        <v>0</v>
      </c>
      <c r="H123" s="56" t="n"/>
      <c r="I123" s="57">
        <f>IF(H123="","",H123-G123)</f>
        <v/>
      </c>
      <c r="J123" s="58">
        <f>IF(OR(H123="",H123=0),"",(H123-G123)/H123)</f>
        <v/>
      </c>
      <c r="K123" s="59" t="inlineStr">
        <is>
          <t>Privacy-respecting metric.</t>
        </is>
      </c>
    </row>
    <row r="124" ht="21.75" customHeight="1" s="45">
      <c r="A124" s="49" t="inlineStr">
        <is>
          <t>Step-by-Step Plan Builder (iteration 0016) — couple's planning checklist</t>
        </is>
      </c>
    </row>
    <row r="125" ht="36" customHeight="1" s="45">
      <c r="A125" s="50" t="inlineStr">
        <is>
          <t>PB-01</t>
        </is>
      </c>
      <c r="B125" s="51" t="inlineStr">
        <is>
          <t>Plan Builder (0016)</t>
        </is>
      </c>
      <c r="C125" s="50" t="inlineStr">
        <is>
          <t>Wedding-planning checklist</t>
        </is>
      </c>
      <c r="D125" s="52" t="inlineStr">
        <is>
          <t>Pre-templated milestones (set the date, book the venue, send save-the-dates, etc.) with countdown to wedding.</t>
        </is>
      </c>
      <c r="E125" s="53" t="inlineStr">
        <is>
          <t>Always Free</t>
        </is>
      </c>
      <c r="F125" s="54" t="inlineStr">
        <is>
          <t>per event</t>
        </is>
      </c>
      <c r="G125" s="55" t="n">
        <v>0</v>
      </c>
      <c r="H125" s="56" t="n"/>
      <c r="I125" s="57">
        <f>IF(H125="","",H125-G125)</f>
        <v/>
      </c>
      <c r="J125" s="58">
        <f>IF(OR(H125="",H125=0),"",(H125-G125)/H125)</f>
        <v/>
      </c>
      <c r="K125" s="59" t="inlineStr">
        <is>
          <t>—</t>
        </is>
      </c>
    </row>
    <row r="126" ht="36" customHeight="1" s="45">
      <c r="A126" s="50" t="inlineStr">
        <is>
          <t>PB-02</t>
        </is>
      </c>
      <c r="B126" s="51" t="inlineStr">
        <is>
          <t>Plan Builder (0016)</t>
        </is>
      </c>
      <c r="C126" s="50" t="inlineStr">
        <is>
          <t>In-UI reminders</t>
        </is>
      </c>
      <c r="D126" s="52" t="inlineStr">
        <is>
          <t>Notifications on the dashboard for upcoming milestones. Push/SMS/email fallback deferred to future iteration.</t>
        </is>
      </c>
      <c r="E126" s="53" t="inlineStr">
        <is>
          <t>Always Free</t>
        </is>
      </c>
      <c r="F126" s="54" t="inlineStr">
        <is>
          <t>per reminder</t>
        </is>
      </c>
      <c r="G126" s="55" t="n">
        <v>0</v>
      </c>
      <c r="H126" s="56" t="n"/>
      <c r="I126" s="57">
        <f>IF(H126="","",H126-G126)</f>
        <v/>
      </c>
      <c r="J126" s="58">
        <f>IF(OR(H126="",H126=0),"",(H126-G126)/H126)</f>
        <v/>
      </c>
      <c r="K126" s="59" t="inlineStr">
        <is>
          <t>—</t>
        </is>
      </c>
    </row>
    <row r="127" ht="36" customHeight="1" s="45">
      <c r="A127" s="50" t="inlineStr">
        <is>
          <t>PB-03</t>
        </is>
      </c>
      <c r="B127" s="51" t="inlineStr">
        <is>
          <t>Plan Builder (0016)</t>
        </is>
      </c>
      <c r="C127" s="50" t="inlineStr">
        <is>
          <t>Milestone tracking</t>
        </is>
      </c>
      <c r="D127" s="52" t="inlineStr">
        <is>
          <t>Couple checks off completed milestones; progress visible across the planning timeline.</t>
        </is>
      </c>
      <c r="E127" s="53" t="inlineStr">
        <is>
          <t>Always Free</t>
        </is>
      </c>
      <c r="F127" s="54" t="inlineStr">
        <is>
          <t>per event</t>
        </is>
      </c>
      <c r="G127" s="55" t="n">
        <v>0</v>
      </c>
      <c r="H127" s="56" t="n"/>
      <c r="I127" s="57">
        <f>IF(H127="","",H127-G127)</f>
        <v/>
      </c>
      <c r="J127" s="58">
        <f>IF(OR(H127="",H127=0),"",(H127-G127)/H127)</f>
        <v/>
      </c>
      <c r="K127" s="59" t="inlineStr">
        <is>
          <t>—</t>
        </is>
      </c>
    </row>
    <row r="128"/>
    <row r="129"/>
    <row r="130" ht="15" customHeight="1" s="45">
      <c r="A130" s="62" t="inlineStr">
        <is>
          <t>Legend:</t>
        </is>
      </c>
    </row>
    <row r="131" ht="26.25" customHeight="1" s="45">
      <c r="A131" s="63" t="inlineStr">
        <is>
          <t>YOUR PRICE</t>
        </is>
      </c>
      <c r="B131" s="64" t="inlineStr">
        <is>
          <t>Yellow + blue = your editable input. Type your price; margin and margin % auto-calculate.</t>
        </is>
      </c>
    </row>
    <row r="132" ht="45.75" customHeight="1" s="45">
      <c r="A132" s="65" t="inlineStr">
        <is>
          <t>Always Free (foundational)</t>
        </is>
      </c>
    </row>
    <row r="133" ht="34.5" customHeight="1" s="45">
      <c r="A133" s="66" t="inlineStr">
        <is>
          <t>Live V1 (chargeable)</t>
        </is>
      </c>
    </row>
    <row r="134" ht="34.5" customHeight="1" s="45">
      <c r="A134" s="67" t="inlineStr">
        <is>
          <t>Live V1 (xlsx-only)</t>
        </is>
      </c>
    </row>
    <row r="135" ht="34.5" customHeight="1" s="45">
      <c r="A135" s="68" t="inlineStr">
        <is>
          <t>Recommended V1.1</t>
        </is>
      </c>
    </row>
    <row r="136" ht="34.5" customHeight="1" s="45">
      <c r="A136" s="69" t="inlineStr">
        <is>
          <t>Din Phase 3</t>
        </is>
      </c>
    </row>
    <row r="137" ht="23.25" customHeight="1" s="45">
      <c r="A137" s="70" t="inlineStr">
        <is>
          <t>Speculative</t>
        </is>
      </c>
    </row>
  </sheetData>
  <mergeCells count="20">
    <mergeCell ref="A58:K58"/>
    <mergeCell ref="A114:K114"/>
    <mergeCell ref="A51:K51"/>
    <mergeCell ref="A98:K98"/>
    <mergeCell ref="A1:K1"/>
    <mergeCell ref="A79:K79"/>
    <mergeCell ref="A124:K124"/>
    <mergeCell ref="A87:K87"/>
    <mergeCell ref="A25:K25"/>
    <mergeCell ref="A130:D130"/>
    <mergeCell ref="A66:K66"/>
    <mergeCell ref="A120:K120"/>
    <mergeCell ref="B131:K131"/>
    <mergeCell ref="A2:K2"/>
    <mergeCell ref="A42:K42"/>
    <mergeCell ref="A76:K76"/>
    <mergeCell ref="A5:K5"/>
    <mergeCell ref="A19:K19"/>
    <mergeCell ref="A13:K13"/>
    <mergeCell ref="A31:K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44" min="1" max="1"/>
    <col width="22" customWidth="1" style="44" min="2" max="2"/>
    <col width="30" customWidth="1" style="44" min="3" max="3"/>
    <col width="50" customWidth="1" style="44" min="4" max="4"/>
    <col width="18" customWidth="1" style="44" min="5" max="6"/>
    <col width="14" customWidth="1" style="44" min="7" max="7"/>
    <col width="16" customWidth="1" style="44" min="8" max="8"/>
    <col width="14" customWidth="1" style="44" min="9" max="9"/>
    <col width="12" customWidth="1" style="44" min="10" max="10"/>
    <col width="38" customWidth="1" style="44" min="11" max="11"/>
  </cols>
  <sheetData>
    <row r="1" ht="31.5" customHeight="1" s="45">
      <c r="A1" s="46" t="inlineStr">
        <is>
          <t>Setnayan App — Vendor Features · 2026-05-11</t>
        </is>
      </c>
    </row>
    <row r="2" ht="37.5" customHeight="1" s="45">
      <c r="A2" s="47" t="inlineStr">
        <is>
          <t>Vendors are couple-managed records in V1 — no paid vendor SKUs ship at V1 launch. Most rows below are TAYO DIN PHASE 3 (~6–9 months post-V1) or speculative. Cost estimates are platform overhead per vendor per week unless noted.</t>
        </is>
      </c>
    </row>
    <row r="3"/>
    <row r="4" ht="31.5" customHeight="1" s="45">
      <c r="A4" s="48" t="inlineStr">
        <is>
          <t>ID</t>
        </is>
      </c>
      <c r="B4" s="48" t="inlineStr">
        <is>
          <t>Function (iteration)</t>
        </is>
      </c>
      <c r="C4" s="48" t="inlineStr">
        <is>
          <t>Feature / Service</t>
        </is>
      </c>
      <c r="D4" s="48" t="inlineStr">
        <is>
          <t>Description</t>
        </is>
      </c>
      <c r="E4" s="48" t="inlineStr">
        <is>
          <t>Status</t>
        </is>
      </c>
      <c r="F4" s="48" t="inlineStr">
        <is>
          <t>Scope</t>
        </is>
      </c>
      <c r="G4" s="48" t="inlineStr">
        <is>
          <t>Setnayan cost (PHP)</t>
        </is>
      </c>
      <c r="H4" s="48" t="inlineStr">
        <is>
          <t>YOUR PRICE (PHP)</t>
        </is>
      </c>
      <c r="I4" s="48" t="inlineStr">
        <is>
          <t>Margin (PHP)</t>
        </is>
      </c>
      <c r="J4" s="48" t="inlineStr">
        <is>
          <t>Margin %</t>
        </is>
      </c>
      <c r="K4" s="48" t="inlineStr">
        <is>
          <t>Notes</t>
        </is>
      </c>
    </row>
    <row r="5" ht="21.75" customHeight="1" s="45">
      <c r="A5" s="49" t="inlineStr">
        <is>
          <t>V1 — what vendors get today (free, couple-managed)</t>
        </is>
      </c>
    </row>
    <row r="6" ht="37.5" customHeight="1" s="45">
      <c r="A6" s="50" t="inlineStr">
        <is>
          <t>VF-00</t>
        </is>
      </c>
      <c r="B6" s="51" t="inlineStr">
        <is>
          <t>Vendor Mgmt (0006)</t>
        </is>
      </c>
      <c r="C6" s="50" t="inlineStr">
        <is>
          <t>Vendor record creation</t>
        </is>
      </c>
      <c r="D6" s="52" t="inlineStr">
        <is>
          <t>Couple manually encodes vendor (name, services, package, milestones, meetings, contracts).</t>
        </is>
      </c>
      <c r="E6" s="71" t="inlineStr">
        <is>
          <t>Foundational</t>
        </is>
      </c>
      <c r="F6" s="54" t="inlineStr">
        <is>
          <t>per vendor</t>
        </is>
      </c>
      <c r="G6" s="55" t="n">
        <v>0</v>
      </c>
      <c r="H6" s="56" t="n"/>
      <c r="I6" s="57">
        <f>IF(H6="","",H6-G6)</f>
        <v/>
      </c>
      <c r="J6" s="58">
        <f>IF(OR(H6="",H6=0),"",(H6-G6)/H6)</f>
        <v/>
      </c>
      <c r="K6" s="59" t="inlineStr">
        <is>
          <t>FREE — vendor money is external; Setnayan only tracks. No vendor login, no vendor self-input in V1.</t>
        </is>
      </c>
    </row>
    <row r="7" ht="37.5" customHeight="1" s="45">
      <c r="A7" s="50" t="inlineStr">
        <is>
          <t>VF-01</t>
        </is>
      </c>
      <c r="B7" s="51" t="inlineStr">
        <is>
          <t>Marketing site (0015)</t>
        </is>
      </c>
      <c r="C7" s="50" t="inlineStr">
        <is>
          <t>Vendor logo display</t>
        </is>
      </c>
      <c r="D7" s="52" t="inlineStr">
        <is>
          <t>Anonymized vendor logos appear on marketing site (last 30 days, opt-in via vendors.is_public flag).</t>
        </is>
      </c>
      <c r="E7" s="60" t="inlineStr">
        <is>
          <t>Live V1</t>
        </is>
      </c>
      <c r="F7" s="54" t="inlineStr">
        <is>
          <t>per listing</t>
        </is>
      </c>
      <c r="G7" s="55" t="n">
        <v>0</v>
      </c>
      <c r="H7" s="56" t="n"/>
      <c r="I7" s="57">
        <f>IF(H7="","",H7-G7)</f>
        <v/>
      </c>
      <c r="J7" s="58">
        <f>IF(OR(H7="",H7=0),"",(H7-G7)/H7)</f>
        <v/>
      </c>
      <c r="K7" s="59" t="inlineStr">
        <is>
          <t>FREE in V1. The user-promised 'goal-progress bar' framing — no per-vendor cost.</t>
        </is>
      </c>
    </row>
    <row r="8" ht="21.75" customHeight="1" s="45">
      <c r="A8" s="49" t="inlineStr">
        <is>
          <t>Din Phase 3 (~6–9 months post-V1) — first paid vendor surfaces</t>
        </is>
      </c>
    </row>
    <row r="9" ht="37.5" customHeight="1" s="45">
      <c r="A9" s="50" t="inlineStr">
        <is>
          <t>VF-02</t>
        </is>
      </c>
      <c r="B9" s="51" t="inlineStr">
        <is>
          <t>Vendor (Din)</t>
        </is>
      </c>
      <c r="C9" s="50" t="inlineStr">
        <is>
          <t>Verified Badge</t>
        </is>
      </c>
      <c r="D9" s="52" t="inlineStr">
        <is>
          <t>Setnayan Team admin verifies vendor legitimacy. Verified flag on listing + couple-side vendor card.</t>
        </is>
      </c>
      <c r="E9" s="72" t="inlineStr">
        <is>
          <t>Din Phase 3</t>
        </is>
      </c>
      <c r="F9" s="54" t="inlineStr">
        <is>
          <t>per account</t>
        </is>
      </c>
      <c r="G9" s="55" t="n">
        <v>5</v>
      </c>
      <c r="H9" s="56" t="n"/>
      <c r="I9" s="57">
        <f>IF(H9="","",H9-G9)</f>
        <v/>
      </c>
      <c r="J9" s="58">
        <f>IF(OR(H9="",H9=0),"",(H9-G9)/H9)</f>
        <v/>
      </c>
      <c r="K9" s="59" t="inlineStr">
        <is>
          <t>One-time admin review effort amortized; ongoing storage. Per-week estimate.</t>
        </is>
      </c>
    </row>
    <row r="10" ht="37.5" customHeight="1" s="45">
      <c r="A10" s="50" t="inlineStr">
        <is>
          <t>VF-03</t>
        </is>
      </c>
      <c r="B10" s="51" t="inlineStr">
        <is>
          <t>Vendor (Din)</t>
        </is>
      </c>
      <c r="C10" s="50" t="inlineStr">
        <is>
          <t>Public vendor profile / listing</t>
        </is>
      </c>
      <c r="D10" s="52" t="inlineStr">
        <is>
          <t>Discoverable vendor profile (name, services, photos, contact, branded landing page).</t>
        </is>
      </c>
      <c r="E10" s="72" t="inlineStr">
        <is>
          <t>Din Phase 3</t>
        </is>
      </c>
      <c r="F10" s="54" t="inlineStr">
        <is>
          <t>per account</t>
        </is>
      </c>
      <c r="G10" s="55" t="n">
        <v>3</v>
      </c>
      <c r="H10" s="56" t="n"/>
      <c r="I10" s="57">
        <f>IF(H10="","",H10-G10)</f>
        <v/>
      </c>
      <c r="J10" s="58">
        <f>IF(OR(H10="",H10=0),"",(H10-G10)/H10)</f>
        <v/>
      </c>
      <c r="K10" s="59" t="inlineStr">
        <is>
          <t>Storage + R2 + Vercel SSR. Per-week estimate.</t>
        </is>
      </c>
    </row>
    <row r="11" ht="37.5" customHeight="1" s="45">
      <c r="A11" s="50" t="inlineStr">
        <is>
          <t>VF-04</t>
        </is>
      </c>
      <c r="B11" s="51" t="inlineStr">
        <is>
          <t>Vendor (Din)</t>
        </is>
      </c>
      <c r="C11" s="50" t="inlineStr">
        <is>
          <t>Featured placement in marketing site</t>
        </is>
      </c>
      <c r="D11" s="52" t="inlineStr">
        <is>
          <t>Vendor logo/profile featured higher in marketing site search.</t>
        </is>
      </c>
      <c r="E11" s="72" t="inlineStr">
        <is>
          <t>Din Phase 3</t>
        </is>
      </c>
      <c r="F11" s="54" t="inlineStr">
        <is>
          <t>per week</t>
        </is>
      </c>
      <c r="G11" s="55" t="n">
        <v>1</v>
      </c>
      <c r="H11" s="56" t="n"/>
      <c r="I11" s="57">
        <f>IF(H11="","",H11-G11)</f>
        <v/>
      </c>
      <c r="J11" s="58">
        <f>IF(OR(H11="",H11=0),"",(H11-G11)/H11)</f>
        <v/>
      </c>
      <c r="K11" s="59" t="inlineStr">
        <is>
          <t>Pure ranking change. Negligible cost.</t>
        </is>
      </c>
    </row>
    <row r="12" ht="37.5" customHeight="1" s="45">
      <c r="A12" s="50" t="inlineStr">
        <is>
          <t>VF-05</t>
        </is>
      </c>
      <c r="B12" s="51" t="inlineStr">
        <is>
          <t>Vendor (Din)</t>
        </is>
      </c>
      <c r="C12" s="50" t="inlineStr">
        <is>
          <t>Vendor analytics dashboard</t>
        </is>
      </c>
      <c r="D12" s="52" t="inlineStr">
        <is>
          <t>Pageviews, couple inquiries, profile-completion checklist.</t>
        </is>
      </c>
      <c r="E12" s="72" t="inlineStr">
        <is>
          <t>Din Phase 3</t>
        </is>
      </c>
      <c r="F12" s="54" t="inlineStr">
        <is>
          <t>per account</t>
        </is>
      </c>
      <c r="G12" s="55" t="n">
        <v>5</v>
      </c>
      <c r="H12" s="56" t="n"/>
      <c r="I12" s="57">
        <f>IF(H12="","",H12-G12)</f>
        <v/>
      </c>
      <c r="J12" s="58">
        <f>IF(OR(H12="",H12=0),"",(H12-G12)/H12)</f>
        <v/>
      </c>
      <c r="K12" s="59" t="inlineStr">
        <is>
          <t>Cloudflare Analytics + Supabase queries. Per-week estimate.</t>
        </is>
      </c>
    </row>
    <row r="13" ht="37.5" customHeight="1" s="45">
      <c r="A13" s="50" t="inlineStr">
        <is>
          <t>VF-06</t>
        </is>
      </c>
      <c r="B13" s="51" t="inlineStr">
        <is>
          <t>Vendor (Din)</t>
        </is>
      </c>
      <c r="C13" s="50" t="inlineStr">
        <is>
          <t>Lead-gen analytics</t>
        </is>
      </c>
      <c r="D13" s="52" t="inlineStr">
        <is>
          <t>Which couples viewed vendor's profile, which messaged, conversion funnel.</t>
        </is>
      </c>
      <c r="E13" s="72" t="inlineStr">
        <is>
          <t>Din Phase 3</t>
        </is>
      </c>
      <c r="F13" s="54" t="inlineStr">
        <is>
          <t>per account</t>
        </is>
      </c>
      <c r="G13" s="55" t="n">
        <v>5</v>
      </c>
      <c r="H13" s="56" t="n"/>
      <c r="I13" s="57">
        <f>IF(H13="","",H13-G13)</f>
        <v/>
      </c>
      <c r="J13" s="58">
        <f>IF(OR(H13="",H13=0),"",(H13-G13)/H13)</f>
        <v/>
      </c>
      <c r="K13" s="59" t="inlineStr">
        <is>
          <t>Aggregation queries + dashboard. Per-week.</t>
        </is>
      </c>
    </row>
    <row r="14" ht="37.5" customHeight="1" s="45">
      <c r="A14" s="50" t="inlineStr">
        <is>
          <t>VF-07</t>
        </is>
      </c>
      <c r="B14" s="51" t="inlineStr">
        <is>
          <t>Vendor (Din)</t>
        </is>
      </c>
      <c r="C14" s="50" t="inlineStr">
        <is>
          <t>Mood Board section authoring</t>
        </is>
      </c>
      <c r="D14" s="52" t="inlineStr">
        <is>
          <t>Vendor authors content for cross-event presence on couple mood boards (e.g., florist's signature palettes).</t>
        </is>
      </c>
      <c r="E14" s="72" t="inlineStr">
        <is>
          <t>Din Phase 3</t>
        </is>
      </c>
      <c r="F14" s="54" t="inlineStr">
        <is>
          <t>per account</t>
        </is>
      </c>
      <c r="G14" s="55" t="n">
        <v>3</v>
      </c>
      <c r="H14" s="56" t="n"/>
      <c r="I14" s="57">
        <f>IF(H14="","",H14-G14)</f>
        <v/>
      </c>
      <c r="J14" s="58">
        <f>IF(OR(H14="",H14=0),"",(H14-G14)/H14)</f>
        <v/>
      </c>
      <c r="K14" s="59" t="inlineStr">
        <is>
          <t>Storage + content moderation overhead. Per-week.</t>
        </is>
      </c>
    </row>
    <row r="15" ht="37.5" customHeight="1" s="45">
      <c r="A15" s="50" t="inlineStr">
        <is>
          <t>VF-08</t>
        </is>
      </c>
      <c r="B15" s="51" t="inlineStr">
        <is>
          <t>Vendor (Din)</t>
        </is>
      </c>
      <c r="C15" s="50" t="inlineStr">
        <is>
          <t>Vendor reviews / testimonials</t>
        </is>
      </c>
      <c r="D15" s="52" t="inlineStr">
        <is>
          <t>Couples leave reviews on vendor profile post-event.</t>
        </is>
      </c>
      <c r="E15" s="72" t="inlineStr">
        <is>
          <t>Din Phase 3</t>
        </is>
      </c>
      <c r="F15" s="54" t="inlineStr">
        <is>
          <t>per review</t>
        </is>
      </c>
      <c r="G15" s="55" t="n">
        <v>2</v>
      </c>
      <c r="H15" s="56" t="n"/>
      <c r="I15" s="57">
        <f>IF(H15="","",H15-G15)</f>
        <v/>
      </c>
      <c r="J15" s="58">
        <f>IF(OR(H15="",H15=0),"",(H15-G15)/H15)</f>
        <v/>
      </c>
      <c r="K15" s="59" t="inlineStr">
        <is>
          <t>Light moderation + display. Per review.</t>
        </is>
      </c>
    </row>
    <row r="16" ht="37.5" customHeight="1" s="45">
      <c r="A16" s="50" t="inlineStr">
        <is>
          <t>VF-09</t>
        </is>
      </c>
      <c r="B16" s="51" t="inlineStr">
        <is>
          <t>Vendor (Din)</t>
        </is>
      </c>
      <c r="C16" s="50" t="inlineStr">
        <is>
          <t>LED logo placement</t>
        </is>
      </c>
      <c r="D16" s="52" t="inlineStr">
        <is>
          <t>Vendor's logo appears on couple's LED Background (the bottom-corner discreet placement).</t>
        </is>
      </c>
      <c r="E16" s="72" t="inlineStr">
        <is>
          <t>Din Phase 3</t>
        </is>
      </c>
      <c r="F16" s="54" t="inlineStr">
        <is>
          <t>per event</t>
        </is>
      </c>
      <c r="G16" s="55" t="n">
        <v>5</v>
      </c>
      <c r="H16" s="56" t="n"/>
      <c r="I16" s="57">
        <f>IF(H16="","",H16-G16)</f>
        <v/>
      </c>
      <c r="J16" s="58">
        <f>IF(OR(H16="",H16=0),"",(H16-G16)/H16)</f>
        <v/>
      </c>
      <c r="K16" s="59" t="inlineStr">
        <is>
          <t>FFmpeg overlay compute. Per render.</t>
        </is>
      </c>
    </row>
    <row r="17" ht="37.5" customHeight="1" s="45">
      <c r="A17" s="50" t="inlineStr">
        <is>
          <t>VF-10</t>
        </is>
      </c>
      <c r="B17" s="51" t="inlineStr">
        <is>
          <t>Vendor (Din)</t>
        </is>
      </c>
      <c r="C17" s="50" t="inlineStr">
        <is>
          <t>Live Stream brand plug</t>
        </is>
      </c>
      <c r="D17" s="52" t="inlineStr">
        <is>
          <t>Vendor's logo appears on couple's Live Stream broadcast bug overlay.</t>
        </is>
      </c>
      <c r="E17" s="72" t="inlineStr">
        <is>
          <t>Din Phase 3</t>
        </is>
      </c>
      <c r="F17" s="54" t="inlineStr">
        <is>
          <t>per event</t>
        </is>
      </c>
      <c r="G17" s="55" t="n">
        <v>5</v>
      </c>
      <c r="H17" s="56" t="n"/>
      <c r="I17" s="57">
        <f>IF(H17="","",H17-G17)</f>
        <v/>
      </c>
      <c r="J17" s="58">
        <f>IF(OR(H17="",H17=0),"",(H17-G17)/H17)</f>
        <v/>
      </c>
      <c r="K17" s="59" t="inlineStr">
        <is>
          <t>Compositor overlay. Per event.</t>
        </is>
      </c>
    </row>
    <row r="18" ht="37.5" customHeight="1" s="45">
      <c r="A18" s="50" t="inlineStr">
        <is>
          <t>VF-11</t>
        </is>
      </c>
      <c r="B18" s="51" t="inlineStr">
        <is>
          <t>Vendor (Din)</t>
        </is>
      </c>
      <c r="C18" s="50" t="inlineStr">
        <is>
          <t>Booking calendar</t>
        </is>
      </c>
      <c r="D18" s="52" t="inlineStr">
        <is>
          <t>Vendor exposes available dates; couple books directly through Setnayan.</t>
        </is>
      </c>
      <c r="E18" s="72" t="inlineStr">
        <is>
          <t>Din Phase 3</t>
        </is>
      </c>
      <c r="F18" s="54" t="inlineStr">
        <is>
          <t>per account</t>
        </is>
      </c>
      <c r="G18" s="55" t="n">
        <v>3</v>
      </c>
      <c r="H18" s="56" t="n"/>
      <c r="I18" s="57">
        <f>IF(H18="","",H18-G18)</f>
        <v/>
      </c>
      <c r="J18" s="58">
        <f>IF(OR(H18="",H18=0),"",(H18-G18)/H18)</f>
        <v/>
      </c>
      <c r="K18" s="59" t="inlineStr">
        <is>
          <t>Calendar storage + cross-checks. Per-week.</t>
        </is>
      </c>
    </row>
    <row r="19" ht="37.5" customHeight="1" s="45">
      <c r="A19" s="50" t="inlineStr">
        <is>
          <t>VF-12</t>
        </is>
      </c>
      <c r="B19" s="51" t="inlineStr">
        <is>
          <t>Vendor (Din)</t>
        </is>
      </c>
      <c r="C19" s="50" t="inlineStr">
        <is>
          <t>Quote / proposal templates</t>
        </is>
      </c>
      <c r="D19" s="52" t="inlineStr">
        <is>
          <t>Vendor sends quotes inside Setnayan; couple accepts → contract auto-saved to vendor record.</t>
        </is>
      </c>
      <c r="E19" s="72" t="inlineStr">
        <is>
          <t>Din Phase 3</t>
        </is>
      </c>
      <c r="F19" s="54" t="inlineStr">
        <is>
          <t>per quote</t>
        </is>
      </c>
      <c r="G19" s="55" t="n">
        <v>2</v>
      </c>
      <c r="H19" s="56" t="n"/>
      <c r="I19" s="57">
        <f>IF(H19="","",H19-G19)</f>
        <v/>
      </c>
      <c r="J19" s="58">
        <f>IF(OR(H19="",H19=0),"",(H19-G19)/H19)</f>
        <v/>
      </c>
      <c r="K19" s="59" t="inlineStr">
        <is>
          <t>PDF generation + storage. Per quote.</t>
        </is>
      </c>
    </row>
    <row r="20" ht="37.5" customHeight="1" s="45">
      <c r="A20" s="50" t="inlineStr">
        <is>
          <t>VF-13</t>
        </is>
      </c>
      <c r="B20" s="51" t="inlineStr">
        <is>
          <t>Vendor (Din)</t>
        </is>
      </c>
      <c r="C20" s="50" t="inlineStr">
        <is>
          <t>Multi-staff seats</t>
        </is>
      </c>
      <c r="D20" s="52" t="inlineStr">
        <is>
          <t>Vendor business adds up to N team members under one account.</t>
        </is>
      </c>
      <c r="E20" s="72" t="inlineStr">
        <is>
          <t>Din Phase 3</t>
        </is>
      </c>
      <c r="F20" s="54" t="inlineStr">
        <is>
          <t>per seat</t>
        </is>
      </c>
      <c r="G20" s="55" t="n">
        <v>2</v>
      </c>
      <c r="H20" s="56" t="n"/>
      <c r="I20" s="57">
        <f>IF(H20="","",H20-G20)</f>
        <v/>
      </c>
      <c r="J20" s="58">
        <f>IF(OR(H20="",H20=0),"",(H20-G20)/H20)</f>
        <v/>
      </c>
      <c r="K20" s="59" t="inlineStr">
        <is>
          <t>Auth + RLS overhead. Per seat per week.</t>
        </is>
      </c>
    </row>
    <row r="21" ht="37.5" customHeight="1" s="45">
      <c r="A21" s="50" t="inlineStr">
        <is>
          <t>VF-14</t>
        </is>
      </c>
      <c r="B21" s="51" t="inlineStr">
        <is>
          <t>Vendor (Din)</t>
        </is>
      </c>
      <c r="C21" s="50" t="inlineStr">
        <is>
          <t>Vendor self-input on profile</t>
        </is>
      </c>
      <c r="D21" s="52" t="inlineStr">
        <is>
          <t>Vendor edits their own profile, photos, services, prices (replaces couple-encoded record).</t>
        </is>
      </c>
      <c r="E21" s="72" t="inlineStr">
        <is>
          <t>Din Phase 3</t>
        </is>
      </c>
      <c r="F21" s="54" t="inlineStr">
        <is>
          <t>per account</t>
        </is>
      </c>
      <c r="G21" s="55" t="n">
        <v>2</v>
      </c>
      <c r="H21" s="56" t="n"/>
      <c r="I21" s="57">
        <f>IF(H21="","",H21-G21)</f>
        <v/>
      </c>
      <c r="J21" s="58">
        <f>IF(OR(H21="",H21=0),"",(H21-G21)/H21)</f>
        <v/>
      </c>
      <c r="K21" s="59" t="inlineStr">
        <is>
          <t>Storage + sync to couple-side records. Per-week.</t>
        </is>
      </c>
    </row>
    <row r="22" ht="37.5" customHeight="1" s="45">
      <c r="A22" s="50" t="inlineStr">
        <is>
          <t>VF-15</t>
        </is>
      </c>
      <c r="B22" s="51" t="inlineStr">
        <is>
          <t>Vendor (Din)</t>
        </is>
      </c>
      <c r="C22" s="50" t="inlineStr">
        <is>
          <t>Vendor portfolio (cross-event)</t>
        </is>
      </c>
      <c r="D22" s="52" t="inlineStr">
        <is>
          <t>Vendor showcases work from past events on a public portfolio page.</t>
        </is>
      </c>
      <c r="E22" s="72" t="inlineStr">
        <is>
          <t>Din Phase 3</t>
        </is>
      </c>
      <c r="F22" s="54" t="inlineStr">
        <is>
          <t>per account</t>
        </is>
      </c>
      <c r="G22" s="55" t="n">
        <v>5</v>
      </c>
      <c r="H22" s="56" t="n"/>
      <c r="I22" s="57">
        <f>IF(H22="","",H22-G22)</f>
        <v/>
      </c>
      <c r="J22" s="58">
        <f>IF(OR(H22="",H22=0),"",(H22-G22)/H22)</f>
        <v/>
      </c>
      <c r="K22" s="59" t="inlineStr">
        <is>
          <t>Image hosting + portfolio rendering. Per-week.</t>
        </is>
      </c>
    </row>
    <row r="23" ht="37.5" customHeight="1" s="45">
      <c r="A23" s="50" t="inlineStr">
        <is>
          <t>VF-16</t>
        </is>
      </c>
      <c r="B23" s="51" t="inlineStr">
        <is>
          <t>Vendor (Din)</t>
        </is>
      </c>
      <c r="C23" s="50" t="inlineStr">
        <is>
          <t>Vendor messaging with couples</t>
        </is>
      </c>
      <c r="D23" s="52" t="inlineStr">
        <is>
          <t>In-app messaging thread between vendor and couple.</t>
        </is>
      </c>
      <c r="E23" s="72" t="inlineStr">
        <is>
          <t>Din Phase 3</t>
        </is>
      </c>
      <c r="F23" s="54" t="inlineStr">
        <is>
          <t>per account</t>
        </is>
      </c>
      <c r="G23" s="55" t="n">
        <v>3</v>
      </c>
      <c r="H23" s="56" t="n"/>
      <c r="I23" s="57">
        <f>IF(H23="","",H23-G23)</f>
        <v/>
      </c>
      <c r="J23" s="58">
        <f>IF(OR(H23="",H23=0),"",(H23-G23)/H23)</f>
        <v/>
      </c>
      <c r="K23" s="59" t="inlineStr">
        <is>
          <t>Realtime + storage + spam filtering. Per-week.</t>
        </is>
      </c>
    </row>
    <row r="24" ht="37.5" customHeight="1" s="45">
      <c r="A24" s="50" t="inlineStr">
        <is>
          <t>VF-17</t>
        </is>
      </c>
      <c r="B24" s="51" t="inlineStr">
        <is>
          <t>Vendor (Din)</t>
        </is>
      </c>
      <c r="C24" s="50" t="inlineStr">
        <is>
          <t>Vendor-to-vendor referral fee</t>
        </is>
      </c>
      <c r="D24" s="52" t="inlineStr">
        <is>
          <t>Vendor refers another vendor; revenue share on captured commission.</t>
        </is>
      </c>
      <c r="E24" s="73" t="inlineStr">
        <is>
          <t>Speculative</t>
        </is>
      </c>
      <c r="F24" s="54" t="inlineStr">
        <is>
          <t>per referral</t>
        </is>
      </c>
      <c r="G24" s="55" t="n">
        <v>0</v>
      </c>
      <c r="H24" s="56" t="n"/>
      <c r="I24" s="57">
        <f>IF(H24="","",H24-G24)</f>
        <v/>
      </c>
      <c r="J24" s="58">
        <f>IF(OR(H24="",H24=0),"",(H24-G24)/H24)</f>
        <v/>
      </c>
      <c r="K24" s="59" t="inlineStr">
        <is>
          <t>No marginal cost — referral is a payout share.</t>
        </is>
      </c>
    </row>
    <row r="25" ht="21.75" customHeight="1" s="45">
      <c r="A25" s="49" t="inlineStr">
        <is>
          <t>Coordinator / Planner (per-account, multi-event)</t>
        </is>
      </c>
    </row>
    <row r="26" ht="37.5" customHeight="1" s="45">
      <c r="A26" s="50" t="inlineStr">
        <is>
          <t>VP-01</t>
        </is>
      </c>
      <c r="B26" s="51" t="inlineStr">
        <is>
          <t>Planner Studio</t>
        </is>
      </c>
      <c r="C26" s="50" t="inlineStr">
        <is>
          <t>Multi-event dashboard</t>
        </is>
      </c>
      <c r="D26" s="52" t="inlineStr">
        <is>
          <t>Planner manages unlimited active client events under one login.</t>
        </is>
      </c>
      <c r="E26" s="74" t="inlineStr">
        <is>
          <t>Recommended V1.1</t>
        </is>
      </c>
      <c r="F26" s="54" t="inlineStr">
        <is>
          <t>per account</t>
        </is>
      </c>
      <c r="G26" s="55" t="n">
        <v>8</v>
      </c>
      <c r="H26" s="56" t="n"/>
      <c r="I26" s="57">
        <f>IF(H26="","",H26-G26)</f>
        <v/>
      </c>
      <c r="J26" s="58">
        <f>IF(OR(H26="",H26=0),"",(H26-G26)/H26)</f>
        <v/>
      </c>
      <c r="K26" s="59" t="inlineStr">
        <is>
          <t>Realtime queries + dashboard rendering. Per-week.</t>
        </is>
      </c>
    </row>
    <row r="27" ht="37.5" customHeight="1" s="45">
      <c r="A27" s="50" t="inlineStr">
        <is>
          <t>VP-02</t>
        </is>
      </c>
      <c r="B27" s="51" t="inlineStr">
        <is>
          <t>Planner Studio</t>
        </is>
      </c>
      <c r="C27" s="50" t="inlineStr">
        <is>
          <t>Branded planner profile</t>
        </is>
      </c>
      <c r="D27" s="52" t="inlineStr">
        <is>
          <t>Planner's name/logo appears on every client's invitation site as 'Coordinated by'.</t>
        </is>
      </c>
      <c r="E27" s="74" t="inlineStr">
        <is>
          <t>Recommended V1.1</t>
        </is>
      </c>
      <c r="F27" s="54" t="inlineStr">
        <is>
          <t>per account</t>
        </is>
      </c>
      <c r="G27" s="55" t="n">
        <v>1</v>
      </c>
      <c r="H27" s="56" t="n"/>
      <c r="I27" s="57">
        <f>IF(H27="","",H27-G27)</f>
        <v/>
      </c>
      <c r="J27" s="58">
        <f>IF(OR(H27="",H27=0),"",(H27-G27)/H27)</f>
        <v/>
      </c>
      <c r="K27" s="59" t="inlineStr">
        <is>
          <t>Stored once per planner; rendered on invitation pages. Per-week.</t>
        </is>
      </c>
    </row>
    <row r="28" ht="37.5" customHeight="1" s="45">
      <c r="A28" s="50" t="inlineStr">
        <is>
          <t>VP-03</t>
        </is>
      </c>
      <c r="B28" s="51" t="inlineStr">
        <is>
          <t>Planner Studio</t>
        </is>
      </c>
      <c r="C28" s="50" t="inlineStr">
        <is>
          <t>Single bill across all clients</t>
        </is>
      </c>
      <c r="D28" s="52" t="inlineStr">
        <is>
          <t>Planner pays one invoice; clients don't see Setnayan billing.</t>
        </is>
      </c>
      <c r="E28" s="74" t="inlineStr">
        <is>
          <t>Recommended V1.1</t>
        </is>
      </c>
      <c r="F28" s="54" t="inlineStr">
        <is>
          <t>per account</t>
        </is>
      </c>
      <c r="G28" s="55" t="n">
        <v>2</v>
      </c>
      <c r="H28" s="56" t="n"/>
      <c r="I28" s="57">
        <f>IF(H28="","",H28-G28)</f>
        <v/>
      </c>
      <c r="J28" s="58">
        <f>IF(OR(H28="",H28=0),"",(H28-G28)/H28)</f>
        <v/>
      </c>
      <c r="K28" s="59" t="inlineStr">
        <is>
          <t>Billing aggregation. Per-week.</t>
        </is>
      </c>
    </row>
    <row r="29" ht="37.5" customHeight="1" s="45">
      <c r="A29" s="50" t="inlineStr">
        <is>
          <t>VP-04</t>
        </is>
      </c>
      <c r="B29" s="51" t="inlineStr">
        <is>
          <t>Planner Studio</t>
        </is>
      </c>
      <c r="C29" s="50" t="inlineStr">
        <is>
          <t>Client subscription discount (10%)</t>
        </is>
      </c>
      <c r="D29" s="52" t="inlineStr">
        <is>
          <t>Planner can purchase couple subscriptions on behalf of clients at -10%.</t>
        </is>
      </c>
      <c r="E29" s="74" t="inlineStr">
        <is>
          <t>Recommended V1.1</t>
        </is>
      </c>
      <c r="F29" s="54" t="inlineStr">
        <is>
          <t>per couple sub</t>
        </is>
      </c>
      <c r="G29" s="55" t="n">
        <v>0</v>
      </c>
      <c r="H29" s="56" t="n"/>
      <c r="I29" s="57">
        <f>IF(H29="","",H29-G29)</f>
        <v/>
      </c>
      <c r="J29" s="58">
        <f>IF(OR(H29="",H29=0),"",(H29-G29)/H29)</f>
        <v/>
      </c>
      <c r="K29" s="59" t="inlineStr">
        <is>
          <t>Forgone revenue, not a marginal cost.</t>
        </is>
      </c>
    </row>
    <row r="30" ht="21.75" customHeight="1" s="45">
      <c r="A30" s="49" t="inlineStr">
        <is>
          <t>Conceptual subscription tier slots — define your bundle then set price</t>
        </is>
      </c>
    </row>
    <row r="31" ht="37.5" customHeight="1" s="45">
      <c r="A31" s="50" t="inlineStr">
        <is>
          <t>VS-01</t>
        </is>
      </c>
      <c r="B31" s="51" t="inlineStr">
        <is>
          <t>Vendor Lite</t>
        </is>
      </c>
      <c r="C31" s="50" t="inlineStr">
        <is>
          <t>Weekly subscription bundle</t>
        </is>
      </c>
      <c r="D31" s="52" t="inlineStr">
        <is>
          <t>Bundle proposal: Verified Badge + public listing + basic analytics. Solo HMUA / mobile bartender / photobooth tier.</t>
        </is>
      </c>
      <c r="E31" s="72" t="inlineStr">
        <is>
          <t>Din Phase 3</t>
        </is>
      </c>
      <c r="F31" s="54" t="inlineStr">
        <is>
          <t>per account / wk</t>
        </is>
      </c>
      <c r="G31" s="55" t="n">
        <v>13</v>
      </c>
      <c r="H31" s="56" t="n"/>
      <c r="I31" s="57">
        <f>IF(H31="","",H31-G31)</f>
        <v/>
      </c>
      <c r="J31" s="58">
        <f>IF(OR(H31="",H31=0),"",(H31-G31)/H31)</f>
        <v/>
      </c>
      <c r="K31" s="59" t="inlineStr">
        <is>
          <t>Cost basis = sum of bundled features (VF-02 + VF-03 + VF-05). Adjust if bundle changes.</t>
        </is>
      </c>
    </row>
    <row r="32" ht="37.5" customHeight="1" s="45">
      <c r="A32" s="50" t="inlineStr">
        <is>
          <t>VS-02</t>
        </is>
      </c>
      <c r="B32" s="51" t="inlineStr">
        <is>
          <t>Vendor Studio</t>
        </is>
      </c>
      <c r="C32" s="50" t="inlineStr">
        <is>
          <t>Weekly subscription bundle</t>
        </is>
      </c>
      <c r="D32" s="52" t="inlineStr">
        <is>
          <t>Bundle proposal: Vendor Lite + featured placement + Mood Board section authoring + lead-gen + multi-staff. Photographer / venue tier.</t>
        </is>
      </c>
      <c r="E32" s="72" t="inlineStr">
        <is>
          <t>Din Phase 3</t>
        </is>
      </c>
      <c r="F32" s="54" t="inlineStr">
        <is>
          <t>per account / wk</t>
        </is>
      </c>
      <c r="G32" s="55" t="n">
        <v>22</v>
      </c>
      <c r="H32" s="56" t="n"/>
      <c r="I32" s="57">
        <f>IF(H32="","",H32-G32)</f>
        <v/>
      </c>
      <c r="J32" s="58">
        <f>IF(OR(H32="",H32=0),"",(H32-G32)/H32)</f>
        <v/>
      </c>
      <c r="K32" s="59" t="inlineStr">
        <is>
          <t>Cost basis = sum of bundled features. Adjust if bundle changes.</t>
        </is>
      </c>
    </row>
    <row r="33" ht="37.5" customHeight="1" s="45">
      <c r="A33" s="50" t="inlineStr">
        <is>
          <t>VS-03</t>
        </is>
      </c>
      <c r="B33" s="51" t="inlineStr">
        <is>
          <t>Planner Studio</t>
        </is>
      </c>
      <c r="C33" s="50" t="inlineStr">
        <is>
          <t>Weekly subscription bundle</t>
        </is>
      </c>
      <c r="D33" s="52" t="inlineStr">
        <is>
          <t>Bundle proposal: VP-01 multi-event dashboard + VP-02 branded profile + VP-03 single-bill + VP-04 10% client discount.</t>
        </is>
      </c>
      <c r="E33" s="74" t="inlineStr">
        <is>
          <t>Recommended V1.1</t>
        </is>
      </c>
      <c r="F33" s="54" t="inlineStr">
        <is>
          <t>per account / wk</t>
        </is>
      </c>
      <c r="G33" s="55" t="n">
        <v>11</v>
      </c>
      <c r="H33" s="56" t="n"/>
      <c r="I33" s="57">
        <f>IF(H33="","",H33-G33)</f>
        <v/>
      </c>
      <c r="J33" s="58">
        <f>IF(OR(H33="",H33=0),"",(H33-G33)/H33)</f>
        <v/>
      </c>
      <c r="K33" s="59" t="inlineStr">
        <is>
          <t>Cost basis = sum of VP-01..04. Excludes the 10% client-discount margin impact.</t>
        </is>
      </c>
    </row>
    <row r="34" ht="21.75" customHeight="1" s="45">
      <c r="A34" s="49" t="inlineStr">
        <is>
          <t>Internal Accounts (Owner + Team — § 10a / § 10b)</t>
        </is>
      </c>
    </row>
    <row r="35" ht="60" customHeight="1" s="45">
      <c r="A35" s="50" t="inlineStr">
        <is>
          <t>VF-18</t>
        </is>
      </c>
      <c r="B35" s="51" t="inlineStr">
        <is>
          <t>0022 vendor dashboard / registration</t>
        </is>
      </c>
      <c r="C35" s="50" t="inlineStr">
        <is>
          <t>Company logo upload (MANDATORY)</t>
        </is>
      </c>
      <c r="D35" s="52" t="inlineStr">
        <is>
          <t>Mandatory company logo at registration. PNG transparent 512×512 ≤2MB. Used as vendor avatar in chat (0019), marketplace listings, landing page hero, save-the-date credit.</t>
        </is>
      </c>
      <c r="E35" s="60" t="inlineStr">
        <is>
          <t>Working today — free</t>
        </is>
      </c>
      <c r="F35" s="54" t="inlineStr">
        <is>
          <t>Per vendor account, one-time</t>
        </is>
      </c>
      <c r="G35" s="55" t="n">
        <v>0</v>
      </c>
      <c r="H35" s="56" t="n">
        <v>0</v>
      </c>
      <c r="I35" s="57">
        <f>IF(H35="","",H35-G35)</f>
        <v/>
      </c>
      <c r="J35" s="58">
        <f>IF(OR(H35="",H35=0),"",(H35-G35)/H35)</f>
        <v/>
      </c>
      <c r="K35" s="59" t="inlineStr">
        <is>
          <t>Vendor Agreement § 1.1 + § 3.10 · enforces chat identity masking (customer always sees company logo, never team-member personal photo regardless of who replied)</t>
        </is>
      </c>
    </row>
    <row r="36" ht="60" customHeight="1" s="45">
      <c r="A36" s="50" t="inlineStr">
        <is>
          <t>VF-19</t>
        </is>
      </c>
      <c r="B36" s="75" t="n"/>
      <c r="C36" s="75" t="n"/>
      <c r="D36" s="76" t="n"/>
      <c r="E36" s="77" t="inlineStr">
        <is>
          <t>Internal — V1 launch</t>
        </is>
      </c>
      <c r="F36" s="54" t="inlineStr">
        <is>
          <t>Per month, shared across all eligible team members</t>
        </is>
      </c>
      <c r="G36" s="78" t="inlineStr">
        <is>
          <t>min(0.5% × prior-month gross platform sales, ₱10,000)</t>
        </is>
      </c>
      <c r="H36" s="56" t="n">
        <v>0</v>
      </c>
      <c r="I36" s="79" t="inlineStr">
        <is>
          <t>(varies)</t>
        </is>
      </c>
      <c r="J36" s="79" t="inlineStr">
        <is>
          <t>(N/A)</t>
        </is>
      </c>
      <c r="K36" s="59" t="inlineStr">
        <is>
          <t>Vendor Agreement § 10b · users.is_team_member = TRUE flag · singleton table team_shared_monthly_allowance (one row per month covering whole team) · per-spend ledger team_allowance_consumptions · owners (§ 10a) excluded · 🟢 admin badge</t>
        </is>
      </c>
    </row>
    <row r="37" ht="60" customHeight="1" s="45">
      <c r="A37" s="50" t="inlineStr">
        <is>
          <t>VF-20</t>
        </is>
      </c>
      <c r="B37" s="51" t="inlineStr">
        <is>
          <t>0023 admin console · § 10a</t>
        </is>
      </c>
      <c r="C37" s="75" t="n"/>
      <c r="D37" s="75" t="n"/>
      <c r="E37" s="75" t="n"/>
      <c r="F37" s="75" t="n"/>
      <c r="G37" s="75" t="n"/>
      <c r="H37" s="75" t="n"/>
      <c r="I37" s="75" t="n"/>
      <c r="J37" s="75" t="n"/>
      <c r="K37" s="76" t="n"/>
    </row>
    <row r="38" ht="60" customHeight="1" s="45">
      <c r="A38" s="50" t="inlineStr">
        <is>
          <t>VF-21</t>
        </is>
      </c>
      <c r="B38" s="51" t="inlineStr">
        <is>
          <t>0032 contract intelligence + builder</t>
        </is>
      </c>
      <c r="C38" s="50" t="inlineStr">
        <is>
          <t>Contract Builder + E-Signature</t>
        </is>
      </c>
      <c r="D38" s="52" t="inlineStr">
        <is>
          <t>AI-powered contract analysis (Claude API), Setnayan template library (~50 clauses, lawyer-reviewed), built-in e-signature flow for both customer + vendor with audit trail (IP + timestamp + signature certificate). RA 8792 compliant. Compliance checklist against PH legal minimums.</t>
        </is>
      </c>
      <c r="E38" s="60" t="inlineStr">
        <is>
          <t>Drafted 2026-05-12 · launch-ready</t>
        </is>
      </c>
      <c r="F38" s="54" t="inlineStr">
        <is>
          <t>Per contract OR unlimited via Pro subscription</t>
        </is>
      </c>
      <c r="G38" s="55" t="n">
        <v>8</v>
      </c>
      <c r="H38" s="56" t="n">
        <v>199</v>
      </c>
      <c r="I38" s="57">
        <f>H38-G38</f>
        <v/>
      </c>
      <c r="J38" s="80">
        <f>I38/H38</f>
        <v/>
      </c>
      <c r="K38" s="59" t="inlineStr">
        <is>
          <t>Pay-as-you-go ₱199 single-use · OR free unlimited with Vendor Pro Weekly (₱499/wk) — recommend bundling into Pro to shift Pro from "marketing perks" to "operational SaaS." External counsel review gate before V1 launch.</t>
        </is>
      </c>
    </row>
    <row r="39" ht="34.5" customHeight="1" s="45"/>
    <row r="40" ht="34.5" customHeight="1" s="45">
      <c r="A40" s="62" t="inlineStr">
        <is>
          <t>Legend:</t>
        </is>
      </c>
    </row>
    <row r="41" ht="34.5" customHeight="1" s="45">
      <c r="A41" s="63" t="inlineStr">
        <is>
          <t>YOUR PRICE</t>
        </is>
      </c>
      <c r="B41" s="64" t="inlineStr">
        <is>
          <t>Yellow + blue = your editable input. Type your price; margin and margin % auto-calculate.</t>
        </is>
      </c>
    </row>
    <row r="42" ht="34.5" customHeight="1" s="45">
      <c r="A42" s="65" t="inlineStr">
        <is>
          <t>Always Free (foundational)</t>
        </is>
      </c>
    </row>
    <row r="43" ht="23.25" customHeight="1" s="45">
      <c r="A43" s="66" t="inlineStr">
        <is>
          <t>Live V1 (chargeable)</t>
        </is>
      </c>
    </row>
    <row r="44" ht="34.5" customHeight="1" s="45">
      <c r="A44" s="67" t="inlineStr">
        <is>
          <t>Live V1 (xlsx-only)</t>
        </is>
      </c>
    </row>
    <row r="45" ht="34.5" customHeight="1" s="45">
      <c r="A45" s="68" t="inlineStr">
        <is>
          <t>Recommended V1.1</t>
        </is>
      </c>
    </row>
    <row r="46" ht="34.5" customHeight="1" s="45">
      <c r="A46" s="69" t="inlineStr">
        <is>
          <t>Din Phase 3</t>
        </is>
      </c>
    </row>
    <row r="47" ht="23.25" customHeight="1" s="45">
      <c r="A47" s="70" t="inlineStr">
        <is>
          <t>Speculative</t>
        </is>
      </c>
    </row>
  </sheetData>
  <mergeCells count="9">
    <mergeCell ref="A34:K34"/>
    <mergeCell ref="A30:K30"/>
    <mergeCell ref="A25:K25"/>
    <mergeCell ref="A2:K2"/>
    <mergeCell ref="A1:K1"/>
    <mergeCell ref="A8:K8"/>
    <mergeCell ref="A5:K5"/>
    <mergeCell ref="A36:D36"/>
    <mergeCell ref="B37:K3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44" min="1" max="1"/>
    <col width="18" customWidth="1" style="44" min="2" max="3"/>
    <col width="16" customWidth="1" style="44" min="4" max="4"/>
    <col width="18" customWidth="1" style="44" min="5" max="6"/>
    <col width="14" customWidth="1" style="44" min="7" max="7"/>
    <col width="50" customWidth="1" style="44" min="8" max="8"/>
  </cols>
  <sheetData>
    <row r="1" ht="31.5" customHeight="1" s="45">
      <c r="A1" s="46" t="inlineStr">
        <is>
          <t>Pricing Model — PHP only (token wallet retired 2026-05-11)</t>
        </is>
      </c>
    </row>
    <row r="2" ht="48" customHeight="1" s="45">
      <c r="A2" s="47" t="inlineStr">
        <is>
          <t>Tokens themselves have NO marginal cost — they are database numbers. What costs Setnayan money is the PayMongo card-processing fee that applies to every wallet top-up (≈3.5% + ₱15). Yellow cells are your inputs (PHP price + bonus %); tokens credited and PayMongo fee calculate automatically.</t>
        </is>
      </c>
    </row>
    <row r="3"/>
    <row r="4" ht="31.5" customHeight="1" s="45">
      <c r="A4" s="48" t="inlineStr">
        <is>
          <t>Tier</t>
        </is>
      </c>
      <c r="B4" s="48" t="inlineStr">
        <is>
          <t>PHP price</t>
        </is>
      </c>
      <c r="C4" s="48" t="inlineStr">
        <is>
          <t>Bonus %</t>
        </is>
      </c>
      <c r="D4" s="48" t="inlineStr">
        <is>
          <t>Tokens credited</t>
        </is>
      </c>
      <c r="E4" s="48" t="inlineStr">
        <is>
          <t>PayMongo fee</t>
        </is>
      </c>
      <c r="F4" s="48" t="inlineStr">
        <is>
          <t>Net Setnayan receives</t>
        </is>
      </c>
      <c r="G4" s="48" t="inlineStr">
        <is>
          <t>Effective ₱/token</t>
        </is>
      </c>
      <c r="H4" s="48" t="inlineStr">
        <is>
          <t>Notes</t>
        </is>
      </c>
    </row>
    <row r="5" ht="27.75" customHeight="1" s="45">
      <c r="A5" s="81" t="inlineStr">
        <is>
          <t>Tier 1</t>
        </is>
      </c>
      <c r="B5" s="82" t="n">
        <v>100</v>
      </c>
      <c r="C5" s="83" t="n">
        <v>0</v>
      </c>
      <c r="D5" s="84">
        <f>B5*30*(1+C5)</f>
        <v/>
      </c>
      <c r="E5" s="57">
        <f>B5*0.035+15</f>
        <v/>
      </c>
      <c r="F5" s="57">
        <f>B5-E5</f>
        <v/>
      </c>
      <c r="G5" s="85">
        <f>IF(D5=0,"—",B5/D5)</f>
        <v/>
      </c>
      <c r="H5" s="59" t="inlineStr">
        <is>
          <t>Anchor entry — 0% bonus.</t>
        </is>
      </c>
    </row>
    <row r="6" ht="27.75" customHeight="1" s="45">
      <c r="A6" s="81" t="inlineStr">
        <is>
          <t>Tier 2</t>
        </is>
      </c>
      <c r="B6" s="82" t="n">
        <v>500</v>
      </c>
      <c r="C6" s="83" t="n">
        <v>0.05</v>
      </c>
      <c r="D6" s="84">
        <f>B6*30*(1+C6)</f>
        <v/>
      </c>
      <c r="E6" s="57">
        <f>B6*0.035+15</f>
        <v/>
      </c>
      <c r="F6" s="57">
        <f>B6-E6</f>
        <v/>
      </c>
      <c r="G6" s="85">
        <f>IF(D6=0,"—",B6/D6)</f>
        <v/>
      </c>
      <c r="H6" s="59" t="inlineStr">
        <is>
          <t>+5% FREE tokens.</t>
        </is>
      </c>
    </row>
    <row r="7" ht="27.75" customHeight="1" s="45">
      <c r="A7" s="81" t="inlineStr">
        <is>
          <t>Tier 3</t>
        </is>
      </c>
      <c r="B7" s="82" t="n">
        <v>1500</v>
      </c>
      <c r="C7" s="83" t="n">
        <v>0.1</v>
      </c>
      <c r="D7" s="84">
        <f>B7*30*(1+C7)</f>
        <v/>
      </c>
      <c r="E7" s="57">
        <f>B7*0.035+15</f>
        <v/>
      </c>
      <c r="F7" s="57">
        <f>B7-E7</f>
        <v/>
      </c>
      <c r="G7" s="85">
        <f>IF(D7=0,"—",B7/D7)</f>
        <v/>
      </c>
      <c r="H7" s="59" t="inlineStr">
        <is>
          <t>+10% FREE tokens.</t>
        </is>
      </c>
    </row>
    <row r="8" ht="27.75" customHeight="1" s="45">
      <c r="A8" s="81" t="inlineStr">
        <is>
          <t>Tier 4</t>
        </is>
      </c>
      <c r="B8" s="82" t="n">
        <v>3000</v>
      </c>
      <c r="C8" s="83" t="n">
        <v>0.15</v>
      </c>
      <c r="D8" s="84">
        <f>B8*30*(1+C8)</f>
        <v/>
      </c>
      <c r="E8" s="57">
        <f>B8*0.035+15</f>
        <v/>
      </c>
      <c r="F8" s="57">
        <f>B8-E8</f>
        <v/>
      </c>
      <c r="G8" s="85">
        <f>IF(D8=0,"—",B8/D8)</f>
        <v/>
      </c>
      <c r="H8" s="59" t="inlineStr">
        <is>
          <t>+15% FREE tokens.</t>
        </is>
      </c>
    </row>
    <row r="9" ht="27.75" customHeight="1" s="45">
      <c r="A9" s="81" t="inlineStr">
        <is>
          <t>Tier 5</t>
        </is>
      </c>
      <c r="B9" s="82" t="n">
        <v>5000</v>
      </c>
      <c r="C9" s="83" t="n">
        <v>0.2</v>
      </c>
      <c r="D9" s="84">
        <f>B9*30*(1+C9)</f>
        <v/>
      </c>
      <c r="E9" s="57">
        <f>B9*0.035+15</f>
        <v/>
      </c>
      <c r="F9" s="57">
        <f>B9-E9</f>
        <v/>
      </c>
      <c r="G9" s="85">
        <f>IF(D9=0,"—",B9/D9)</f>
        <v/>
      </c>
      <c r="H9" s="59" t="inlineStr">
        <is>
          <t>+20% FREE tokens.</t>
        </is>
      </c>
    </row>
    <row r="10" ht="27.75" customHeight="1" s="45">
      <c r="A10" s="81" t="inlineStr">
        <is>
          <t>Tier 6</t>
        </is>
      </c>
      <c r="B10" s="82" t="n">
        <v>10000</v>
      </c>
      <c r="C10" s="83" t="n">
        <v>0.25</v>
      </c>
      <c r="D10" s="84">
        <f>B10*30*(1+C10)</f>
        <v/>
      </c>
      <c r="E10" s="57">
        <f>B10*0.035+15</f>
        <v/>
      </c>
      <c r="F10" s="57">
        <f>B10-E10</f>
        <v/>
      </c>
      <c r="G10" s="85">
        <f>IF(D10=0,"—",B10/D10)</f>
        <v/>
      </c>
      <c r="H10" s="59" t="inlineStr">
        <is>
          <t>+25% FREE tokens — largest pack drives upfront commitment.</t>
        </is>
      </c>
    </row>
    <row r="11"/>
    <row r="12" ht="21.75" customHeight="1" s="45">
      <c r="A12" s="86" t="inlineStr">
        <is>
          <t>What changes if you adjust the ladder</t>
        </is>
      </c>
    </row>
    <row r="13" ht="94.5" customHeight="1" s="45">
      <c r="A13" s="87" t="inlineStr">
        <is>
          <t>• Larger bonus % at the top tier = more couples push to the larger pack (capture upfront commitment, breakage upside).
• Lower entry tier (Tier 1 below ₱100) = easier impulse top-up but worse fee-to-value ratio for couple.
• PayMongo fee is roughly fixed-rate; the ₱15 fixed component hurts the smaller packs more (~18.5% on Tier 1 vs ~3.7% on Tier 6).
• If you switch to all-subscription pricing (per Pricing v2 recommendation), this ladder becomes optional — you can keep a single Tier 1 micro-top-up for à la carte buyers and retire the rest.</t>
        </is>
      </c>
    </row>
  </sheetData>
  <mergeCells count="4">
    <mergeCell ref="A12:H12"/>
    <mergeCell ref="A13:H13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44" min="1" max="1"/>
    <col width="14" customWidth="1" style="44" min="2" max="2"/>
    <col width="80" customWidth="1" style="44" min="3" max="3"/>
  </cols>
  <sheetData>
    <row r="1" ht="31.5" customHeight="1" s="45">
      <c r="A1" s="46" t="inlineStr">
        <is>
          <t>Where the Setnayan cost numbers come from</t>
        </is>
      </c>
    </row>
    <row r="2"/>
    <row r="3" ht="31.5" customHeight="1" s="45">
      <c r="A3" s="48" t="inlineStr">
        <is>
          <t>Cost basis</t>
        </is>
      </c>
      <c r="B3" s="48" t="inlineStr">
        <is>
          <t>PHP</t>
        </is>
      </c>
      <c r="C3" s="48" t="inlineStr">
        <is>
          <t>Source / explanation</t>
        </is>
      </c>
    </row>
    <row r="4" ht="31.5" customHeight="1" s="45">
      <c r="A4" s="50" t="inlineStr">
        <is>
          <t>3 Paparazzi crew (event)</t>
        </is>
      </c>
      <c r="B4" s="55" t="n">
        <v>195</v>
      </c>
      <c r="C4" s="59" t="inlineStr">
        <is>
          <t>CLAUDE.md cost-per-event cheat sheet. R2 storage (90-day hot tier + 5-year IA cold) + face vector store + ~30 reel renders + bandwidth. 87% margin at ₱1,500 list.</t>
        </is>
      </c>
    </row>
    <row r="5" ht="31.5" customHeight="1" s="45">
      <c r="A5" s="50" t="inlineStr">
        <is>
          <t>5 Paparazzi crew (event)</t>
        </is>
      </c>
      <c r="B5" s="55" t="n">
        <v>265</v>
      </c>
      <c r="C5" s="59" t="inlineStr">
        <is>
          <t>CLAUDE.md cheat sheet. Scales sub-linearly with crew size because R2 storage tier costs aren't 5/3 of 3-crew costs.</t>
        </is>
      </c>
    </row>
    <row r="6" ht="31.5" customHeight="1" s="45">
      <c r="A6" s="50" t="inlineStr">
        <is>
          <t>per Template add-on</t>
        </is>
      </c>
      <c r="B6" s="55" t="n">
        <v>60</v>
      </c>
      <c r="C6" s="59" t="inlineStr">
        <is>
          <t>CLAUDE.md cheat sheet. ~₱2/render × ~30 reels per typical event.</t>
        </is>
      </c>
    </row>
    <row r="7" ht="31.5" customHeight="1" s="45">
      <c r="A7" s="50" t="inlineStr">
        <is>
          <t>Live Stream Base</t>
        </is>
      </c>
      <c r="B7" s="55" t="n">
        <v>120</v>
      </c>
      <c r="C7" s="59" t="inlineStr">
        <is>
          <t>CLAUDE.md cheat sheet. Cloudflare Stream Live ingest 3 cams × 3 hrs ≈ 540 min. YouTube delivers free.</t>
        </is>
      </c>
    </row>
    <row r="8" ht="31.5" customHeight="1" s="45">
      <c r="A8" s="50" t="inlineStr">
        <is>
          <t>+1 Live Stream Camera</t>
        </is>
      </c>
      <c r="B8" s="55" t="n">
        <v>30</v>
      </c>
      <c r="C8" s="59" t="inlineStr">
        <is>
          <t>Computed from cheat sheet — LS+2cams = ₱180 (vs base ₱120) = ₱30/cam.</t>
        </is>
      </c>
    </row>
    <row r="9" ht="31.5" customHeight="1" s="45">
      <c r="A9" s="50" t="inlineStr">
        <is>
          <t>+1 Live Stream Hour</t>
        </is>
      </c>
      <c r="B9" s="55" t="n">
        <v>50</v>
      </c>
      <c r="C9" s="59" t="inlineStr">
        <is>
          <t>Computed from cheat sheet — LS+2cams+2hrs = ₱280 (vs +2cams ₱180) = ₱50/hr.</t>
        </is>
      </c>
    </row>
    <row r="10" ht="31.5" customHeight="1" s="45">
      <c r="A10" s="50" t="inlineStr">
        <is>
          <t>Custom Monogram Pack</t>
        </is>
      </c>
      <c r="B10" s="55" t="n">
        <v>5</v>
      </c>
      <c r="C10" s="59" t="inlineStr">
        <is>
          <t>CLAUDE.md cheat sheet. One-time asset gen + storage.</t>
        </is>
      </c>
    </row>
    <row r="11" ht="31.5" customHeight="1" s="45">
      <c r="A11" s="50" t="inlineStr">
        <is>
          <t>Broadcast Style Pack</t>
        </is>
      </c>
      <c r="B11" s="55" t="n">
        <v>5</v>
      </c>
      <c r="C11" s="59" t="inlineStr">
        <is>
          <t>CLAUDE.md cheat sheet. Compositor template/LUT swaps.</t>
        </is>
      </c>
    </row>
    <row r="12" ht="31.5" customHeight="1" s="45">
      <c r="A12" s="50" t="inlineStr">
        <is>
          <t>AI Video Highlight (60s)</t>
        </is>
      </c>
      <c r="B12" s="55" t="n">
        <v>10</v>
      </c>
      <c r="C12" s="59" t="inlineStr">
        <is>
          <t>CLAUDE.md cheat sheet. Claude API + FFmpeg per render.</t>
        </is>
      </c>
    </row>
    <row r="13" ht="31.5" customHeight="1" s="45">
      <c r="A13" s="50" t="inlineStr">
        <is>
          <t>AI Edited Highlight (3-min)</t>
        </is>
      </c>
      <c r="B13" s="55" t="n">
        <v>30</v>
      </c>
      <c r="C13" s="59" t="inlineStr">
        <is>
          <t>CLAUDE.md cheat sheet. Claude API + FFmpeg + theme template per render.</t>
        </is>
      </c>
    </row>
    <row r="14" ht="31.5" customHeight="1" s="45">
      <c r="A14" s="50" t="inlineStr">
        <is>
          <t>Pro Camera Bridge (per DSLR)</t>
        </is>
      </c>
      <c r="B14" s="55" t="n">
        <v>10</v>
      </c>
      <c r="C14" s="59" t="inlineStr">
        <is>
          <t>Estimate. Software-only marginal cost; SDK licensing is one-time eng amortized.</t>
        </is>
      </c>
    </row>
    <row r="15" ht="31.5" customHeight="1" s="45">
      <c r="A15" s="50" t="inlineStr">
        <is>
          <t>Pro Invitation Widgets (each + bundle)</t>
        </is>
      </c>
      <c r="B15" s="55" t="n">
        <v>0</v>
      </c>
      <c r="C15" s="59" t="inlineStr">
        <is>
          <t>Pure software margin per CLAUDE.md (Pro tier ₱0).</t>
        </is>
      </c>
    </row>
    <row r="16" ht="31.5" customHeight="1" s="45">
      <c r="A16" s="50" t="inlineStr">
        <is>
          <t>LED 1080p / 4K / 8K render</t>
        </is>
      </c>
      <c r="B16" s="78" t="inlineStr">
        <is>
          <t>25 / 40 / 60</t>
        </is>
      </c>
      <c r="C16" s="59" t="inlineStr">
        <is>
          <t>From 00_Pricing_and_Costs.xlsx. FFmpeg compute on Cloudflare Workers; R2 storage; USB master.</t>
        </is>
      </c>
    </row>
    <row r="17" ht="31.5" customHeight="1" s="45">
      <c r="A17" s="50" t="inlineStr">
        <is>
          <t>LED Custom resolution</t>
        </is>
      </c>
      <c r="B17" s="55" t="n">
        <v>80</v>
      </c>
      <c r="C17" s="59" t="inlineStr">
        <is>
          <t>Estimate based on similar — longer renders + non-standard resolutions.</t>
        </is>
      </c>
    </row>
    <row r="18" ht="31.5" customHeight="1" s="45">
      <c r="A18" s="50" t="inlineStr">
        <is>
          <t>LED Photo Pool blend</t>
        </is>
      </c>
      <c r="B18" s="55" t="n">
        <v>100</v>
      </c>
      <c r="C18" s="59" t="inlineStr">
        <is>
          <t>Estimate — image processing + multi-pass encoding.</t>
        </is>
      </c>
    </row>
    <row r="19" ht="31.5" customHeight="1" s="45">
      <c r="A19" s="50" t="inlineStr">
        <is>
          <t>LED Ultrawide &gt;21:9</t>
        </is>
      </c>
      <c r="B19" s="55" t="n">
        <v>70</v>
      </c>
      <c r="C19" s="59" t="inlineStr">
        <is>
          <t>Estimate — non-standard aspect ratio re-encode.</t>
        </is>
      </c>
    </row>
    <row r="20" ht="31.5" customHeight="1" s="45">
      <c r="A20" s="50" t="inlineStr">
        <is>
          <t>LED Live playback URL</t>
        </is>
      </c>
      <c r="B20" s="55" t="n">
        <v>8</v>
      </c>
      <c r="C20" s="59" t="inlineStr">
        <is>
          <t>From 00_Pricing_and_Costs.xlsx. R2 storage + bandwidth (free egress on R2).</t>
        </is>
      </c>
    </row>
    <row r="21" ht="31.5" customHeight="1" s="45">
      <c r="A21" s="50" t="inlineStr">
        <is>
          <t>Photo Delivery to Drive</t>
        </is>
      </c>
      <c r="B21" s="55" t="n">
        <v>5</v>
      </c>
      <c r="C21" s="59" t="inlineStr">
        <is>
          <t>From 00_Pricing_and_Costs.xlsx. Drive API + R2 read.</t>
        </is>
      </c>
    </row>
    <row r="22" ht="31.5" customHeight="1" s="45">
      <c r="A22" s="50" t="inlineStr">
        <is>
          <t>Payment processing — PayMongo (global)</t>
        </is>
      </c>
      <c r="B22" s="78" t="inlineStr">
        <is>
          <t>3.5% + ₱15 / txn</t>
        </is>
      </c>
      <c r="C22" s="59" t="inlineStr">
        <is>
          <t>PayMongo card processing rate. Applies to EVERY transaction (token top-ups, subscription charges, one-time service purchases). It's a transaction overhead, not a per-service cost — that's why it does NOT appear in the per-feature cost columns. Bake into your blended margin assumption (effective margin = listed margin − ~3.5%).</t>
        </is>
      </c>
    </row>
    <row r="23" ht="31.5" customHeight="1" s="45">
      <c r="A23" s="50" t="inlineStr">
        <is>
          <t>Vendor platform overhead (Din)</t>
        </is>
      </c>
      <c r="B23" s="78" t="inlineStr">
        <is>
          <t>₱1–₱8/wk</t>
        </is>
      </c>
      <c r="C23" s="59" t="inlineStr">
        <is>
          <t>Estimate per chargeable feature. Storage + queries + dashboard rendering. Costs aggregate when vendor has multiple features active.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2026-05-10T17:32:05Z</dcterms:created>
  <dcterms:modified xmlns:dcterms="http://purl.org/dc/terms/" xmlns:xsi="http://www.w3.org/2001/XMLSchema-instance" xsi:type="dcterms:W3CDTF">2026-05-12T11:26:12Z</dcterms:modified>
  <cp:revision>0</cp:revision>
</cp:coreProperties>
</file>