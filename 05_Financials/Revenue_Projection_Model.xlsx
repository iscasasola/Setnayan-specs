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enue Projectio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[RED]\(#,##0\);\—"/>
    <numFmt numFmtId="165" formatCode="0%;[RED]\(0%\);\—"/>
    <numFmt numFmtId="166" formatCode="\₱#,##0;[RED]&quot;₱(&quot;#,##0\);\—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11827"/>
      <sz val="18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11827"/>
      <sz val="11"/>
    </font>
    <font>
      <name val="Arial"/>
      <charset val="1"/>
      <family val="0"/>
      <color rgb="FF6B7280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111827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65F46"/>
      <sz val="12"/>
    </font>
    <font>
      <name val="Arial"/>
      <charset val="1"/>
      <family val="0"/>
      <b val="1"/>
      <color rgb="FF111827"/>
      <sz val="10"/>
    </font>
  </fonts>
  <fills count="7">
    <fill>
      <patternFill/>
    </fill>
    <fill>
      <patternFill patternType="gray125"/>
    </fill>
    <fill>
      <patternFill patternType="solid">
        <fgColor rgb="FF374151"/>
        <bgColor rgb="FF333399"/>
      </patternFill>
    </fill>
    <fill>
      <patternFill patternType="solid">
        <fgColor rgb="FF111827"/>
        <bgColor rgb="FF000000"/>
      </patternFill>
    </fill>
    <fill>
      <patternFill patternType="solid">
        <fgColor rgb="FFFFFACD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DCFCE7"/>
        <bgColor rgb="FFCCFFCC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111827"/>
      </top>
      <bottom style="medium">
        <color rgb="FF111827"/>
      </bottom>
      <diagonal/>
    </border>
    <border>
      <left/>
      <right/>
      <top style="medium">
        <color rgb="FF111827"/>
      </top>
      <bottom/>
      <diagonal/>
    </border>
    <border>
      <left/>
      <right style="thin">
        <color rgb="FFD1D5DB"/>
      </right>
      <top style="medium">
        <color rgb="FF111827"/>
      </top>
      <bottom/>
      <diagonal/>
    </border>
    <border>
      <left/>
      <right style="thin">
        <color rgb="FFD1D5DB"/>
      </right>
      <top style="medium">
        <color rgb="FF111827"/>
      </top>
      <bottom style="medium">
        <color rgb="FF11182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6" fontId="12" fillId="6" borderId="2" applyAlignment="1" pivotButton="0" quotePrefix="0" xfId="0">
      <alignment horizontal="right" vertical="center"/>
    </xf>
    <xf numFmtId="166" fontId="5" fillId="6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6" fontId="12" fillId="6" borderId="2" applyAlignment="1" pivotButton="0" quotePrefix="0" xfId="0">
      <alignment horizontal="right" vertical="center"/>
    </xf>
    <xf numFmtId="166" fontId="5" fillId="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3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ACD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23" min="1" max="1"/>
    <col width="36" customWidth="1" style="23" min="2" max="2"/>
    <col width="16" customWidth="1" style="23" min="3" max="6"/>
    <col width="38" customWidth="1" style="23" min="7" max="7"/>
  </cols>
  <sheetData>
    <row r="1" ht="31.5" customHeight="1" s="24">
      <c r="A1" s="25" t="inlineStr">
        <is>
          <t>Setnayan Revenue Projection — Basic Case Model</t>
        </is>
      </c>
    </row>
    <row r="2" ht="37.5" customHeight="1" s="24">
      <c r="A2" s="26" t="inlineStr">
        <is>
          <t>Yellow cells = your inputs (couples, vendors, planners, conversion rates, ARPU). Bold rows recalculate live. Year 1 = launch year with 6-mo free promo for non-locked SKUs. Year 2 = full revenue post-promo. Year 3 = scale year.</t>
        </is>
      </c>
    </row>
    <row r="3"/>
    <row r="4" ht="21.75" customHeight="1" s="24">
      <c r="A4" s="27" t="inlineStr">
        <is>
          <t>Time horizon</t>
        </is>
      </c>
    </row>
    <row r="5" ht="15" customHeight="1" s="24">
      <c r="B5" s="28" t="n"/>
      <c r="C5" s="29" t="inlineStr">
        <is>
          <t>Year 1</t>
        </is>
      </c>
      <c r="D5" s="29" t="inlineStr">
        <is>
          <t>Year 2</t>
        </is>
      </c>
      <c r="E5" s="29" t="inlineStr">
        <is>
          <t>Year 3</t>
        </is>
      </c>
      <c r="G5" s="30" t="inlineStr">
        <is>
          <t>Year 1 = launch year (6 months free promo, 6 months paid). Year 2+ = full paid year.</t>
        </is>
      </c>
    </row>
    <row r="6" ht="21.75" customHeight="1" s="24">
      <c r="A6" s="27" t="inlineStr">
        <is>
          <t>COUPLE assumptions</t>
        </is>
      </c>
    </row>
    <row r="7" ht="21.75" customHeight="1" s="24">
      <c r="B7" s="31" t="inlineStr">
        <is>
          <t>Total couples on platform (cumulative)</t>
        </is>
      </c>
      <c r="C7" s="32" t="n">
        <v>1000</v>
      </c>
      <c r="D7" s="32" t="n">
        <v>5000</v>
      </c>
      <c r="E7" s="32" t="n">
        <v>15000</v>
      </c>
      <c r="G7" s="33" t="inlineStr">
        <is>
          <t>Year-end count of couples who signed up for Setnayan (includes free + paying).</t>
        </is>
      </c>
    </row>
    <row r="8" ht="21.75" customHeight="1" s="24">
      <c r="B8" s="31" t="inlineStr">
        <is>
          <t>% who pay something (conversion rate)</t>
        </is>
      </c>
      <c r="C8" s="34" t="n">
        <v>0.6</v>
      </c>
      <c r="D8" s="34" t="n">
        <v>0.65</v>
      </c>
      <c r="E8" s="34" t="n">
        <v>0.7</v>
      </c>
      <c r="G8" s="33" t="inlineStr">
        <is>
          <t>Of all signups, what % actually buy at least one paid SKU.</t>
        </is>
      </c>
    </row>
    <row r="9" ht="21.75" customHeight="1" s="24">
      <c r="B9" s="31" t="inlineStr">
        <is>
          <t>Avg basic spend per paying couple (PHP, all paid)</t>
        </is>
      </c>
      <c r="C9" s="35" t="n">
        <v>2600</v>
      </c>
      <c r="D9" s="35" t="n">
        <v>2800</v>
      </c>
      <c r="E9" s="35" t="n">
        <v>3000</v>
      </c>
      <c r="G9" s="33" t="inlineStr">
        <is>
          <t>Weighted ARPU. Mix: 100% Pro Bundle ₱300, 50% Paparazzi (~₱2,500), 30% Live Stream (₱3,500), 25% AI Highlight (~₱2,500), 20% Monogram (₱2,500), 20% LED (~₱500), 40% Photo Delivery (₱149), 15% Setnayan Plus sub (~₱2,400), 5% Atelier (₱1,999). Result: ~₱2,600/paying couple.</t>
        </is>
      </c>
    </row>
    <row r="10" ht="21.75" customHeight="1" s="24">
      <c r="B10" s="31" t="inlineStr">
        <is>
          <t>Avg basic spend during launch promo (PHP)</t>
        </is>
      </c>
      <c r="C10" s="35" t="n">
        <v>1900</v>
      </c>
      <c r="D10" s="36" t="inlineStr">
        <is>
          <t>—</t>
        </is>
      </c>
      <c r="E10" s="36" t="inlineStr">
        <is>
          <t>—</t>
        </is>
      </c>
      <c r="G10" s="33" t="inlineStr">
        <is>
          <t>First 6 months only — only existing-paid SKUs charge. No subscriptions, no Atelier, no AI Albums. Pure apparatus.</t>
        </is>
      </c>
    </row>
    <row r="11" ht="21.75" customHeight="1" s="24">
      <c r="B11" s="31" t="inlineStr">
        <is>
          <t>% of Year 1 couples paying full (post-promo)</t>
        </is>
      </c>
      <c r="C11" s="34" t="n">
        <v>0.5</v>
      </c>
      <c r="D11" s="37" t="n">
        <v>1</v>
      </c>
      <c r="E11" s="37" t="n">
        <v>1</v>
      </c>
      <c r="G11" s="33" t="inlineStr">
        <is>
          <t>What fraction of Year 1 couples buy after promo ends. Year 2+ = 100%.</t>
        </is>
      </c>
    </row>
    <row r="12" ht="21.75" customHeight="1" s="24">
      <c r="B12" s="31" t="inlineStr">
        <is>
          <t>% of Year 1 couples paying promo-only</t>
        </is>
      </c>
      <c r="C12" s="34" t="n">
        <v>0.5</v>
      </c>
      <c r="D12" s="37" t="n">
        <v>0</v>
      </c>
      <c r="E12" s="37" t="n">
        <v>0</v>
      </c>
      <c r="G12" s="33" t="inlineStr">
        <is>
          <t>What fraction buy only during promo (basic apparatus only).</t>
        </is>
      </c>
    </row>
    <row r="13"/>
    <row r="14" ht="21.75" customHeight="1" s="24">
      <c r="A14" s="27" t="inlineStr">
        <is>
          <t>PLANNER assumptions (per-account weekly subscription)</t>
        </is>
      </c>
    </row>
    <row r="15" ht="21.75" customHeight="1" s="24">
      <c r="B15" s="31" t="inlineStr">
        <is>
          <t>Number of planners on Planner Studio</t>
        </is>
      </c>
      <c r="C15" s="32" t="n">
        <v>50</v>
      </c>
      <c r="D15" s="32" t="n">
        <v>200</v>
      </c>
      <c r="E15" s="32" t="n">
        <v>500</v>
      </c>
      <c r="G15" s="33" t="inlineStr">
        <is>
          <t>Wedding planners running multiple events. Avg 5-15 weddings/quarter.</t>
        </is>
      </c>
    </row>
    <row r="16" ht="21.75" customHeight="1" s="24">
      <c r="B16" s="31" t="inlineStr">
        <is>
          <t>Annual subscription per planner (PHP)</t>
        </is>
      </c>
      <c r="C16" s="35" t="n">
        <v>25948</v>
      </c>
      <c r="D16" s="35" t="n">
        <v>25948</v>
      </c>
      <c r="E16" s="35" t="n">
        <v>25948</v>
      </c>
      <c r="G16" s="33" t="inlineStr">
        <is>
          <t>₱499/wk × 52 weeks = ₱25,948/yr. Or ₱18,000 if annual prepay.</t>
        </is>
      </c>
    </row>
    <row r="17" ht="21.75" customHeight="1" s="24">
      <c r="B17" s="31" t="inlineStr">
        <is>
          <t>% of Year 1 planners paying (post-V1.1 launch month 4)</t>
        </is>
      </c>
      <c r="C17" s="34" t="n">
        <v>0.75</v>
      </c>
      <c r="D17" s="37" t="n">
        <v>1</v>
      </c>
      <c r="E17" s="37" t="n">
        <v>1</v>
      </c>
      <c r="G17" s="33" t="inlineStr">
        <is>
          <t>V1.1 ships month 3-4; planners can subscribe from then but get 6-mo free promo. Effective paid fraction year 1 ≈ 0.75 of full year.</t>
        </is>
      </c>
    </row>
    <row r="18"/>
    <row r="19" ht="21.75" customHeight="1" s="24">
      <c r="A19" s="27" t="inlineStr">
        <is>
          <t>VENDOR assumptions (per-account weekly, after Din ships)</t>
        </is>
      </c>
    </row>
    <row r="20" ht="21.75" customHeight="1" s="24">
      <c r="B20" s="31" t="inlineStr">
        <is>
          <t>Vendor Lite subscribers (₱149/wk)</t>
        </is>
      </c>
      <c r="C20" s="32" t="n">
        <v>30</v>
      </c>
      <c r="D20" s="32" t="n">
        <v>300</v>
      </c>
      <c r="E20" s="32" t="n">
        <v>1000</v>
      </c>
      <c r="G20" s="33" t="inlineStr">
        <is>
          <t>Solo HMUA, mobile bartenders, photobooths. Lower tier.</t>
        </is>
      </c>
    </row>
    <row r="21" ht="21.75" customHeight="1" s="24">
      <c r="B21" s="31" t="inlineStr">
        <is>
          <t>Vendor Studio subscribers (₱449/wk)</t>
        </is>
      </c>
      <c r="C21" s="32" t="n">
        <v>20</v>
      </c>
      <c r="D21" s="32" t="n">
        <v>200</v>
      </c>
      <c r="E21" s="32" t="n">
        <v>600</v>
      </c>
      <c r="G21" s="33" t="inlineStr">
        <is>
          <t>Photographers, venues, planner-bundles. Higher tier.</t>
        </is>
      </c>
    </row>
    <row r="22" ht="21.75" customHeight="1" s="24">
      <c r="B22" s="31" t="inlineStr">
        <is>
          <t>Annual Vendor Lite per account (PHP)</t>
        </is>
      </c>
      <c r="C22" s="35" t="n">
        <v>7748</v>
      </c>
      <c r="D22" s="35" t="n">
        <v>7748</v>
      </c>
      <c r="E22" s="35" t="n">
        <v>7748</v>
      </c>
      <c r="G22" s="33" t="inlineStr">
        <is>
          <t>₱149/wk × 52.</t>
        </is>
      </c>
    </row>
    <row r="23" ht="21.75" customHeight="1" s="24">
      <c r="B23" s="31" t="inlineStr">
        <is>
          <t>Annual Vendor Studio per account (PHP)</t>
        </is>
      </c>
      <c r="C23" s="35" t="n">
        <v>23348</v>
      </c>
      <c r="D23" s="35" t="n">
        <v>23348</v>
      </c>
      <c r="E23" s="35" t="n">
        <v>23348</v>
      </c>
      <c r="G23" s="33" t="inlineStr">
        <is>
          <t>₱449/wk × 52.</t>
        </is>
      </c>
    </row>
    <row r="24" ht="21.75" customHeight="1" s="24">
      <c r="B24" s="31" t="inlineStr">
        <is>
          <t>% of Year 1 vendors paying (Din ships month 9)</t>
        </is>
      </c>
      <c r="C24" s="34" t="n">
        <v>0.25</v>
      </c>
      <c r="D24" s="37" t="n">
        <v>1</v>
      </c>
      <c r="E24" s="37" t="n">
        <v>1</v>
      </c>
      <c r="G24" s="33" t="inlineStr">
        <is>
          <t>Din ships ~6-9 months in. Year 1 effective vendor-pay year is ~3 months.</t>
        </is>
      </c>
    </row>
    <row r="25"/>
    <row r="26" ht="21.75" customHeight="1" s="24">
      <c r="A26" s="27" t="inlineStr">
        <is>
          <t>REVENUE — couple side</t>
        </is>
      </c>
    </row>
    <row r="27"/>
    <row r="28" ht="21.75" customHeight="1" s="24">
      <c r="B28" s="38" t="inlineStr">
        <is>
          <t>Paying couples (year-end count)</t>
        </is>
      </c>
      <c r="C28" s="39">
        <f>C7*C8</f>
        <v/>
      </c>
      <c r="D28" s="39">
        <f>D7*D8</f>
        <v/>
      </c>
      <c r="E28" s="39">
        <f>E7*E8</f>
        <v/>
      </c>
    </row>
    <row r="29" ht="21.75" customHeight="1" s="24">
      <c r="B29" s="31" t="inlineStr">
        <is>
          <t>Couples on full-paid path (after promo ends)</t>
        </is>
      </c>
      <c r="C29" s="40">
        <f>C28*C11</f>
        <v/>
      </c>
      <c r="D29" s="40">
        <f>D28</f>
        <v/>
      </c>
      <c r="E29" s="40">
        <f>E28</f>
        <v/>
      </c>
    </row>
    <row r="30" ht="21.75" customHeight="1" s="24">
      <c r="B30" s="31" t="inlineStr">
        <is>
          <t>Couples on promo-only path (Year 1 only)</t>
        </is>
      </c>
      <c r="C30" s="40">
        <f>C28*C12</f>
        <v/>
      </c>
      <c r="D30" s="40" t="n">
        <v>0</v>
      </c>
      <c r="E30" s="40" t="n">
        <v>0</v>
      </c>
    </row>
    <row r="31"/>
    <row r="32" ht="21.75" customHeight="1" s="24">
      <c r="B32" s="31" t="inlineStr">
        <is>
          <t>Revenue — couples on full-paid path</t>
        </is>
      </c>
      <c r="C32" s="41">
        <f>C29*C9</f>
        <v/>
      </c>
      <c r="D32" s="41">
        <f>D29*D9</f>
        <v/>
      </c>
      <c r="E32" s="41">
        <f>E29*E9</f>
        <v/>
      </c>
    </row>
    <row r="33" ht="21.75" customHeight="1" s="24">
      <c r="B33" s="31" t="inlineStr">
        <is>
          <t>Revenue — couples on promo-only path (Y1)</t>
        </is>
      </c>
      <c r="C33" s="41">
        <f>C30*C10</f>
        <v/>
      </c>
      <c r="D33" s="41" t="n">
        <v>0</v>
      </c>
      <c r="E33" s="41" t="n">
        <v>0</v>
      </c>
    </row>
    <row r="34" ht="21.75" customHeight="1" s="24">
      <c r="B34" s="38" t="inlineStr">
        <is>
          <t>COUPLE revenue subtotal</t>
        </is>
      </c>
      <c r="C34" s="42">
        <f>C32+C33</f>
        <v/>
      </c>
      <c r="D34" s="42">
        <f>D32+D33</f>
        <v/>
      </c>
      <c r="E34" s="42">
        <f>E32+E33</f>
        <v/>
      </c>
    </row>
    <row r="35"/>
    <row r="36" ht="21.75" customHeight="1" s="24">
      <c r="A36" s="27" t="inlineStr">
        <is>
          <t>REVENUE — planner side</t>
        </is>
      </c>
    </row>
    <row r="37"/>
    <row r="38" ht="21.75" customHeight="1" s="24">
      <c r="B38" s="38" t="inlineStr">
        <is>
          <t>Planner revenue</t>
        </is>
      </c>
      <c r="C38" s="42">
        <f>C15*C16*C17</f>
        <v/>
      </c>
      <c r="D38" s="42">
        <f>D15*D16</f>
        <v/>
      </c>
      <c r="E38" s="42">
        <f>E15*E16</f>
        <v/>
      </c>
    </row>
    <row r="39"/>
    <row r="40" ht="21.75" customHeight="1" s="24">
      <c r="A40" s="27" t="inlineStr">
        <is>
          <t>REVENUE — vendor side (Din)</t>
        </is>
      </c>
    </row>
    <row r="41"/>
    <row r="42" ht="21.75" customHeight="1" s="24">
      <c r="B42" s="31" t="inlineStr">
        <is>
          <t>Vendor Lite revenue</t>
        </is>
      </c>
      <c r="C42" s="41">
        <f>C20*C22*C24</f>
        <v/>
      </c>
      <c r="D42" s="41">
        <f>D20*D22</f>
        <v/>
      </c>
      <c r="E42" s="41">
        <f>E20*E22</f>
        <v/>
      </c>
    </row>
    <row r="43" ht="21.75" customHeight="1" s="24">
      <c r="B43" s="31" t="inlineStr">
        <is>
          <t>Vendor Studio revenue</t>
        </is>
      </c>
      <c r="C43" s="41">
        <f>C21*C23*C24</f>
        <v/>
      </c>
      <c r="D43" s="41">
        <f>D21*D23</f>
        <v/>
      </c>
      <c r="E43" s="41">
        <f>E21*E23</f>
        <v/>
      </c>
    </row>
    <row r="44" ht="21.75" customHeight="1" s="24">
      <c r="B44" s="38" t="inlineStr">
        <is>
          <t>VENDOR revenue subtotal</t>
        </is>
      </c>
      <c r="C44" s="42">
        <f>C42+C43</f>
        <v/>
      </c>
      <c r="D44" s="42">
        <f>D42+D43</f>
        <v/>
      </c>
      <c r="E44" s="42">
        <f>E42+E43</f>
        <v/>
      </c>
    </row>
    <row r="45"/>
    <row r="46" ht="21.75" customHeight="1" s="24">
      <c r="A46" s="27" t="inlineStr">
        <is>
          <t>TOTAL REVENUE</t>
        </is>
      </c>
    </row>
    <row r="47"/>
    <row r="48" ht="30" customHeight="1" s="24">
      <c r="B48" s="38" t="inlineStr">
        <is>
          <t>TOTAL revenue per year</t>
        </is>
      </c>
      <c r="C48" s="43">
        <f>C34+C38+C44</f>
        <v/>
      </c>
      <c r="D48" s="43">
        <f>D34+D38+D44</f>
        <v/>
      </c>
      <c r="E48" s="43">
        <f>E34+E38+E44</f>
        <v/>
      </c>
    </row>
    <row r="49"/>
    <row r="50" ht="21.75" customHeight="1" s="24">
      <c r="B50" s="31" t="inlineStr">
        <is>
          <t>Revenue per signup (blended)</t>
        </is>
      </c>
      <c r="C50" s="41">
        <f>C48/C7</f>
        <v/>
      </c>
      <c r="D50" s="41">
        <f>D48/D7</f>
        <v/>
      </c>
      <c r="E50" s="41">
        <f>E48/E7</f>
        <v/>
      </c>
    </row>
    <row r="51" ht="21.75" customHeight="1" s="24">
      <c r="B51" s="31" t="inlineStr">
        <is>
          <t>Revenue per paying customer (couple+planner+vendor)</t>
        </is>
      </c>
      <c r="C51" s="41">
        <f>C48/(C28+C15+C20+C21)</f>
        <v/>
      </c>
      <c r="D51" s="41">
        <f>D48/(D28+D15+D20+D21)</f>
        <v/>
      </c>
      <c r="E51" s="41">
        <f>E48/(E28+E15+E20+E21)</f>
        <v/>
      </c>
    </row>
    <row r="52"/>
    <row r="53" ht="21.75" customHeight="1" s="24">
      <c r="B53" s="38" t="inlineStr">
        <is>
          <t>Cumulative 3-year revenue</t>
        </is>
      </c>
      <c r="C53" s="43">
        <f>C48+D48+E48</f>
        <v/>
      </c>
      <c r="D53" s="44" t="inlineStr">
        <is>
          <t>Year 1 + Year 2 + Year 3</t>
        </is>
      </c>
      <c r="E53" s="45" t="n"/>
    </row>
    <row r="54"/>
    <row r="55" ht="21.75" customHeight="1" s="24">
      <c r="A55" s="27" t="inlineStr">
        <is>
          <t>Notes and caveats</t>
        </is>
      </c>
    </row>
    <row r="56" ht="19.5" customHeight="1" s="24">
      <c r="A56" s="46" t="inlineStr">
        <is>
          <t>ARPU breakdown (basic case) — how the ₱2,600 average per paying couple comes together:</t>
        </is>
      </c>
    </row>
    <row r="57" ht="19.5" customHeight="1" s="24">
      <c r="A57" s="33" t="inlineStr">
        <is>
          <t xml:space="preserve">    Pro Bundle ₱300 × 100% = ₱300   |   3 Paparazzi seats ₱2,000 × 50% = ₱1,000</t>
        </is>
      </c>
    </row>
    <row r="58" ht="19.5" customHeight="1" s="24">
      <c r="A58" s="33" t="inlineStr">
        <is>
          <t xml:space="preserve">    5 Paparazzi seats ₱3,500 × 20% = ₱700   |   Live Stream Base ₱3,500 × 30% = ₱1,050</t>
        </is>
      </c>
    </row>
    <row r="59" ht="19.5" customHeight="1" s="24">
      <c r="A59" s="33" t="inlineStr">
        <is>
          <t xml:space="preserve">    Custom Monogram ₱2,500 × 20% = ₱500   |   AI Video Highlight ₱2,500 × 25% = ₱625</t>
        </is>
      </c>
    </row>
    <row r="60" ht="19.5" customHeight="1" s="24">
      <c r="A60" s="33" t="inlineStr">
        <is>
          <t xml:space="preserve">    LED 1080p ₱299 × 20% = ₱60   |   Photo Delivery ₱149 × 40% = ₱60   |   Atelier ₱1,999 × 5% = ₱100</t>
        </is>
      </c>
    </row>
    <row r="61" ht="19.5" customHeight="1" s="24">
      <c r="A61" s="33" t="inlineStr">
        <is>
          <t xml:space="preserve">    Setnayan Plus sub (16 weeks × ₱149) × 15% = ₱360   |   Sum: ~₱4,755 per heavy user, ~₱2,600 blended.</t>
        </is>
      </c>
    </row>
    <row r="62" ht="19.5" customHeight="1" s="24">
      <c r="A62" s="33" t="n"/>
    </row>
    <row r="63" ht="19.5" customHeight="1" s="24">
      <c r="A63" s="46" t="inlineStr">
        <is>
          <t>Launch promo math (Year 1 first 6 months):</t>
        </is>
      </c>
    </row>
    <row r="64" ht="19.5" customHeight="1" s="24">
      <c r="A64" s="33" t="inlineStr">
        <is>
          <t xml:space="preserve">    Only existing-paid SKUs charge (Paparazzi, Live Stream, LED, Pro widgets, Monogram, AI Highlights, Photo Delivery, Pro Camera Bridge).</t>
        </is>
      </c>
    </row>
    <row r="65" ht="19.5" customHeight="1" s="24">
      <c r="A65" s="33" t="inlineStr">
        <is>
          <t xml:space="preserve">    Setnayan Plus subscription, Atelier, AI Albums, Voice Guestbook all run free.</t>
        </is>
      </c>
    </row>
    <row r="66" ht="19.5" customHeight="1" s="24">
      <c r="A66" s="33" t="inlineStr">
        <is>
          <t xml:space="preserve">    Promo-period couple ARPU ≈ ₱1,900 (just the basic apparatus, no subscriptions or premium SKUs).</t>
        </is>
      </c>
    </row>
    <row r="67" ht="19.5" customHeight="1" s="24">
      <c r="A67" s="33" t="n"/>
    </row>
    <row r="68" ht="19.5" customHeight="1" s="24">
      <c r="A68" s="46" t="inlineStr">
        <is>
          <t>Vendor revenue lag:</t>
        </is>
      </c>
    </row>
    <row r="69" ht="19.5" customHeight="1" s="24">
      <c r="A69" s="33" t="inlineStr">
        <is>
          <t xml:space="preserve">    Din ships ~6-9 months post-V1. Year 1 vendor revenue is ~3 months × planned count.</t>
        </is>
      </c>
    </row>
    <row r="70" ht="19.5" customHeight="1" s="24">
      <c r="A70" s="33" t="inlineStr">
        <is>
          <t xml:space="preserve">    Year 2+ assumes full year of vendor subscriptions.</t>
        </is>
      </c>
    </row>
    <row r="71" ht="19.5" customHeight="1" s="24">
      <c r="A71" s="33" t="n"/>
    </row>
    <row r="72" ht="19.5" customHeight="1" s="24">
      <c r="A72" s="46" t="inlineStr">
        <is>
          <t>Planner revenue:</t>
        </is>
      </c>
    </row>
    <row r="73" ht="19.5" customHeight="1" s="24">
      <c r="A73" s="33" t="inlineStr">
        <is>
          <t xml:space="preserve">    Planner Studio (V1.1) ships month 3-4. Free for couples buying through planner during 6-mo promo, then ₱499/wk per planner account.</t>
        </is>
      </c>
    </row>
    <row r="74" ht="19.5" customHeight="1" s="24">
      <c r="A74" s="33" t="inlineStr">
        <is>
          <t xml:space="preserve">    Year 1 effective ≈ 0.75 of full annual rate.</t>
        </is>
      </c>
    </row>
    <row r="75" ht="19.5" customHeight="1" s="24">
      <c r="A75" s="33" t="n"/>
    </row>
    <row r="76" ht="19.5" customHeight="1" s="24">
      <c r="A76" s="46" t="inlineStr">
        <is>
          <t>What this model DOES NOT include:</t>
        </is>
      </c>
    </row>
    <row r="77" ht="19.5" customHeight="1" s="24">
      <c r="A77" s="33" t="inlineStr">
        <is>
          <t xml:space="preserve">    Physical-goods revenue (Photo Books, NFC, QR cards, arras coins) — paid from day 1 but volume hard to estimate; add manually if you have data.</t>
        </is>
      </c>
    </row>
    <row r="78" ht="19.5" customHeight="1" s="24">
      <c r="A78" s="33" t="inlineStr">
        <is>
          <t xml:space="preserve">    Labor-services revenue (Setnayan Pro Services Photo Team, Concierge Planning, Day-Of Coordinator) — depends on whether you operate those tiers.</t>
        </is>
      </c>
    </row>
    <row r="79" ht="19.5" customHeight="1" s="24">
      <c r="A79" s="33" t="inlineStr">
        <is>
          <t xml:space="preserve">    PayMongo card-processing fee (~3.5% + ₱15/txn). Effective margin = listed × ~96.5%.</t>
        </is>
      </c>
    </row>
    <row r="80" ht="19.5" customHeight="1" s="24">
      <c r="A80" s="33" t="inlineStr">
        <is>
          <t xml:space="preserve">    Customer support, marketing, infrastructure overhead, salaries, customer acquisition cost.</t>
        </is>
      </c>
    </row>
    <row r="81" ht="19.5" customHeight="1" s="24">
      <c r="A81" s="33" t="inlineStr">
        <is>
          <t xml:space="preserve">    Churn (couples don't really churn — wedding is one-time; planners/vendors do churn).</t>
        </is>
      </c>
    </row>
    <row r="82" ht="19.5" customHeight="1" s="24">
      <c r="A82" s="33" t="inlineStr">
        <is>
          <t xml:space="preserve">    Y2-Y3 ARPU inflation — set conservatively (₱2,800 / ₱3,000).</t>
        </is>
      </c>
    </row>
    <row r="83" ht="19.5" customHeight="1" s="24">
      <c r="A83" s="33" t="n"/>
    </row>
    <row r="84" ht="19.5" customHeight="1" s="24">
      <c r="A84" s="46" t="inlineStr">
        <is>
          <t>Margin reality check (Year 2 illustrative):</t>
        </is>
      </c>
    </row>
    <row r="85" ht="19.5" customHeight="1" s="24">
      <c r="A85" s="33" t="inlineStr">
        <is>
          <t xml:space="preserve">    Couple revenue ₱13M × ~88% gross margin (per CLAUDE.md cheat sheet) = ~₱11.4M gross profit.</t>
        </is>
      </c>
    </row>
    <row r="86" ht="19.5" customHeight="1" s="24">
      <c r="A86" s="33" t="inlineStr">
        <is>
          <t xml:space="preserve">    Vendor + Planner revenue ~₱12M × ~96% gross margin = ~₱11.5M.</t>
        </is>
      </c>
    </row>
    <row r="87" ht="19.5" customHeight="1" s="24">
      <c r="A87" s="33" t="inlineStr">
        <is>
          <t xml:space="preserve">    Combined: ~₱23M gross profit at Year 2 if assumptions hold. OpEx (salaries + infra) brings net down — needs your own ops model.</t>
        </is>
      </c>
    </row>
    <row r="88" ht="19.5" customHeight="1" s="24">
      <c r="A88" s="33" t="n"/>
    </row>
    <row r="89" ht="19.5" customHeight="1" s="24">
      <c r="A89" s="46" t="inlineStr">
        <is>
          <t>Confidence: LOW on couple count, MEDIUM on per-couple ARPU, MEDIUM on planner/vendor adoption rate.</t>
        </is>
      </c>
    </row>
    <row r="90" ht="19.5" customHeight="1" s="24">
      <c r="A90" s="33" t="inlineStr">
        <is>
          <t xml:space="preserve">    These numbers move 3-5× based on launch execution, marketing spend, and competitor response.</t>
        </is>
      </c>
    </row>
    <row r="91" ht="19.5" customHeight="1" s="24">
      <c r="A91" s="33" t="inlineStr">
        <is>
          <t xml:space="preserve">    Treat as an order-of-magnitude sketch, not a forecast.</t>
        </is>
      </c>
    </row>
  </sheetData>
  <mergeCells count="48">
    <mergeCell ref="A14:G14"/>
    <mergeCell ref="A91:G91"/>
    <mergeCell ref="A4:G4"/>
    <mergeCell ref="A62:G62"/>
    <mergeCell ref="A72:G72"/>
    <mergeCell ref="A81:G81"/>
    <mergeCell ref="A68:G68"/>
    <mergeCell ref="A19:G19"/>
    <mergeCell ref="A63:G63"/>
    <mergeCell ref="A58:G58"/>
    <mergeCell ref="A40:G40"/>
    <mergeCell ref="A67:G67"/>
    <mergeCell ref="A77:G77"/>
    <mergeCell ref="A83:G83"/>
    <mergeCell ref="A64:G64"/>
    <mergeCell ref="A59:G59"/>
    <mergeCell ref="A82:G82"/>
    <mergeCell ref="A60:G60"/>
    <mergeCell ref="A73:G73"/>
    <mergeCell ref="D53:E53"/>
    <mergeCell ref="A36:G36"/>
    <mergeCell ref="A61:G61"/>
    <mergeCell ref="A1:G1"/>
    <mergeCell ref="A88:G88"/>
    <mergeCell ref="A70:G70"/>
    <mergeCell ref="A79:G79"/>
    <mergeCell ref="A6:G6"/>
    <mergeCell ref="A69:G69"/>
    <mergeCell ref="A87:G87"/>
    <mergeCell ref="A78:G78"/>
    <mergeCell ref="A65:G65"/>
    <mergeCell ref="A90:G90"/>
    <mergeCell ref="A46:G46"/>
    <mergeCell ref="A75:G75"/>
    <mergeCell ref="A84:G84"/>
    <mergeCell ref="A66:G66"/>
    <mergeCell ref="A89:G89"/>
    <mergeCell ref="A74:G74"/>
    <mergeCell ref="A80:G80"/>
    <mergeCell ref="A56:G56"/>
    <mergeCell ref="A55:G55"/>
    <mergeCell ref="A26:G26"/>
    <mergeCell ref="A2:G2"/>
    <mergeCell ref="A86:G86"/>
    <mergeCell ref="A57:G57"/>
    <mergeCell ref="A76:G76"/>
    <mergeCell ref="A71:G71"/>
    <mergeCell ref="A85:G8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2026-05-11T04:48:01Z</dcterms:created>
  <dcterms:modified xmlns:dcterms="http://purl.org/dc/terms/" xmlns:xsi="http://www.w3.org/2001/XMLSchema-instance" xsi:type="dcterms:W3CDTF">2026-05-12T11:26:12Z</dcterms:modified>
  <cp:revision>0</cp:revision>
</cp:coreProperties>
</file>